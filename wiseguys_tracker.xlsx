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st Bets" sheetId="1" state="visible" r:id="rId3"/>
    <sheet name="Futur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<sst xmlns="http://schemas.openxmlformats.org/spreadsheetml/2006/main" count="671" uniqueCount="298">
  <si>
    <t xml:space="preserve">Date</t>
  </si>
  <si>
    <t xml:space="preserve">Episode Title</t>
  </si>
  <si>
    <t xml:space="preserve">Host</t>
  </si>
  <si>
    <t xml:space="preserve">Bet</t>
  </si>
  <si>
    <t xml:space="preserve">Type</t>
  </si>
  <si>
    <t xml:space="preserve">Odds</t>
  </si>
  <si>
    <t xml:space="preserve">Result</t>
  </si>
  <si>
    <t xml:space="preserve">Units</t>
  </si>
  <si>
    <t xml:space="preserve">League</t>
  </si>
  <si>
    <t xml:space="preserve">Matchup</t>
  </si>
  <si>
    <t xml:space="preserve">Timestamp</t>
  </si>
  <si>
    <t xml:space="preserve">Quote</t>
  </si>
  <si>
    <t xml:space="preserve">SUMMARY</t>
  </si>
  <si>
    <t xml:space="preserve">8/7</t>
  </si>
  <si>
    <t xml:space="preserve">Football Returns! Plus: Breaking Down the AFC East</t>
  </si>
  <si>
    <t xml:space="preserve">Cousin Sal</t>
  </si>
  <si>
    <t xml:space="preserve">Red Sox ML + Cardinals ML</t>
  </si>
  <si>
    <t xml:space="preserve">Parlay</t>
  </si>
  <si>
    <t xml:space="preserve">+130</t>
  </si>
  <si>
    <t xml:space="preserve">W</t>
  </si>
  <si>
    <t xml:space="preserve">MLB</t>
  </si>
  <si>
    <t xml:space="preserve">Red Sox at A's / Cardinals vs Rockies</t>
  </si>
  <si>
    <t xml:space="preserve">01:14:01</t>
  </si>
  <si>
    <t xml:space="preserve">Cardinals Red Sox parlay, plus 130</t>
  </si>
  <si>
    <t xml:space="preserve">Record (W-L-P)</t>
  </si>
  <si>
    <t xml:space="preserve">Joe House</t>
  </si>
  <si>
    <t xml:space="preserve">Red Sox -1.5 (run line)</t>
  </si>
  <si>
    <t xml:space="preserve">Spread</t>
  </si>
  <si>
    <t xml:space="preserve">-118</t>
  </si>
  <si>
    <t xml:space="preserve">Red Sox at A's</t>
  </si>
  <si>
    <t xml:space="preserve">01:14:33</t>
  </si>
  <si>
    <t xml:space="preserve">lay the one and a half at minus 118. That's one best bet</t>
  </si>
  <si>
    <t xml:space="preserve">Win %</t>
  </si>
  <si>
    <t xml:space="preserve">Cardinals ML + Guardians ML</t>
  </si>
  <si>
    <t xml:space="preserve">+181</t>
  </si>
  <si>
    <t xml:space="preserve">Cardinals vs Rockies / Guardians vs White Sox</t>
  </si>
  <si>
    <t xml:space="preserve">01:15:05</t>
  </si>
  <si>
    <t xml:space="preserve">parlay that with the Cleveland Guardians ... plus 181</t>
  </si>
  <si>
    <t xml:space="preserve">Units returned</t>
  </si>
  <si>
    <t xml:space="preserve">Raheem Palmer</t>
  </si>
  <si>
    <t xml:space="preserve">Rangers ML</t>
  </si>
  <si>
    <t xml:space="preserve">Moneyline</t>
  </si>
  <si>
    <t xml:space="preserve">-142</t>
  </si>
  <si>
    <t xml:space="preserve">Rangers vs Orioles</t>
  </si>
  <si>
    <t xml:space="preserve">01:15:40</t>
  </si>
  <si>
    <t xml:space="preserve">go with the Texas Rangers ... minus 142</t>
  </si>
  <si>
    <t xml:space="preserve">Net units</t>
  </si>
  <si>
    <t xml:space="preserve">Anthony Dabbundo</t>
  </si>
  <si>
    <t xml:space="preserve">Phillies/Blue Jays Under 8</t>
  </si>
  <si>
    <t xml:space="preserve">Total</t>
  </si>
  <si>
    <t xml:space="preserve">-115</t>
  </si>
  <si>
    <t xml:space="preserve">L</t>
  </si>
  <si>
    <t xml:space="preserve">Phillies vs Blue Jays (Soriano)</t>
  </si>
  <si>
    <t xml:space="preserve">01:16:24</t>
  </si>
  <si>
    <t xml:space="preserve">under eight ... minus 115, so I'm taking it</t>
  </si>
  <si>
    <t xml:space="preserve">Bets graded</t>
  </si>
  <si>
    <t xml:space="preserve">8/10</t>
  </si>
  <si>
    <t xml:space="preserve">AFC North Preview!</t>
  </si>
  <si>
    <t xml:space="preserve">Rays ML</t>
  </si>
  <si>
    <t xml:space="preserve">-145</t>
  </si>
  <si>
    <t xml:space="preserve">Rays at A's (Sacramento)</t>
  </si>
  <si>
    <t xml:space="preserve">01:02:19</t>
  </si>
  <si>
    <t xml:space="preserve">Tampa minus 145 is the play of the day</t>
  </si>
  <si>
    <t xml:space="preserve">Red Sox ML</t>
  </si>
  <si>
    <t xml:space="preserve">-146</t>
  </si>
  <si>
    <t xml:space="preserve">Red Sox vs Blue Jays</t>
  </si>
  <si>
    <t xml:space="preserve">01:03:55</t>
  </si>
  <si>
    <t xml:space="preserve">Red Sox -146 tonight</t>
  </si>
  <si>
    <t xml:space="preserve">Tracking starts 8/7 (first NFL preview). Result = W/L/P, Pending, or blank. Type drives the bet-type breakdown.</t>
  </si>
  <si>
    <t xml:space="preserve">Cardinals ML</t>
  </si>
  <si>
    <t xml:space="preserve">+106</t>
  </si>
  <si>
    <t xml:space="preserve">Cardinals vs Phillies</t>
  </si>
  <si>
    <t xml:space="preserve">01:03:51</t>
  </si>
  <si>
    <t xml:space="preserve">going Cardinals plus 106</t>
  </si>
  <si>
    <t xml:space="preserve">Braves ML + Dodgers ML</t>
  </si>
  <si>
    <t xml:space="preserve">+137</t>
  </si>
  <si>
    <t xml:space="preserve">Braves vs Mets / Dodgers vs KC</t>
  </si>
  <si>
    <t xml:space="preserve">01:04:13</t>
  </si>
  <si>
    <t xml:space="preserve">Braves Dodgers parlay. Pays plus 137</t>
  </si>
  <si>
    <t xml:space="preserve">Astros ML</t>
  </si>
  <si>
    <t xml:space="preserve">Astros vs Giants</t>
  </si>
  <si>
    <t xml:space="preserve">01:05:48</t>
  </si>
  <si>
    <t xml:space="preserve">give me the Astros on the money line minus 146</t>
  </si>
  <si>
    <t xml:space="preserve">8/13</t>
  </si>
  <si>
    <t xml:space="preserve">Kyler Murray to Start, NBA Xmas Schedule, and Ticket Takers</t>
  </si>
  <si>
    <t xml:space="preserve">Bryce Harper to hit a HR</t>
  </si>
  <si>
    <t xml:space="preserve">Prop</t>
  </si>
  <si>
    <t xml:space="preserve">+450</t>
  </si>
  <si>
    <t xml:space="preserve">Phillies vs Twins (Field of Dreams)</t>
  </si>
  <si>
    <t xml:space="preserve">00:48:09</t>
  </si>
  <si>
    <t xml:space="preserve">Bryce Harper to hit a home run plus 450</t>
  </si>
  <si>
    <t xml:space="preserve">Rangers/Angels Under 8</t>
  </si>
  <si>
    <t xml:space="preserve">+100</t>
  </si>
  <si>
    <t xml:space="preserve">Rangers at Angels (deGrom)</t>
  </si>
  <si>
    <t xml:space="preserve">00:49:35</t>
  </si>
  <si>
    <t xml:space="preserve">Rangers Angels under eight, which is even odds</t>
  </si>
  <si>
    <t xml:space="preserve">Cubs ML</t>
  </si>
  <si>
    <t xml:space="preserve">Cubs vs Nationals</t>
  </si>
  <si>
    <t xml:space="preserve">00:50:24</t>
  </si>
  <si>
    <t xml:space="preserve">I'm taking the Cubs ... Chicago Cubs</t>
  </si>
  <si>
    <t xml:space="preserve">8/14</t>
  </si>
  <si>
    <t xml:space="preserve">AFC South Preview</t>
  </si>
  <si>
    <t xml:space="preserve">Falcons +3.5</t>
  </si>
  <si>
    <t xml:space="preserve">-105</t>
  </si>
  <si>
    <t xml:space="preserve">NFL</t>
  </si>
  <si>
    <t xml:space="preserve">Falcons vs Broncos (preseason)</t>
  </si>
  <si>
    <t xml:space="preserve">direct upload</t>
  </si>
  <si>
    <t xml:space="preserve">Eagles -3.5</t>
  </si>
  <si>
    <t xml:space="preserve">-110</t>
  </si>
  <si>
    <t xml:space="preserve">Eagles vs Ravens, Sat 8/15 (preseason)</t>
  </si>
  <si>
    <t xml:space="preserve">-120</t>
  </si>
  <si>
    <t xml:space="preserve">Astros vs Mariners</t>
  </si>
  <si>
    <t xml:space="preserve">Brewers ML</t>
  </si>
  <si>
    <t xml:space="preserve">+152</t>
  </si>
  <si>
    <t xml:space="preserve">Brewers vs Dodgers</t>
  </si>
  <si>
    <t xml:space="preserve">Pirates ML</t>
  </si>
  <si>
    <t xml:space="preserve">+115</t>
  </si>
  <si>
    <t xml:space="preserve">Pirates vs Red Sox</t>
  </si>
  <si>
    <t xml:space="preserve">Tag</t>
  </si>
  <si>
    <t xml:space="preserve">Resolves</t>
  </si>
  <si>
    <t xml:space="preserve">Notes</t>
  </si>
  <si>
    <t xml:space="preserve">NOTES</t>
  </si>
  <si>
    <t xml:space="preserve">Bills over 10.5</t>
  </si>
  <si>
    <t xml:space="preserve">O/U Lean</t>
  </si>
  <si>
    <t xml:space="preserve">Pending</t>
  </si>
  <si>
    <t xml:space="preserve">End of 2026 NFL reg. season</t>
  </si>
  <si>
    <t xml:space="preserve">Has Bills at 11 wins</t>
  </si>
  <si>
    <t xml:space="preserve">00:12:03</t>
  </si>
  <si>
    <t xml:space="preserve">slight over ... winning 11 games</t>
  </si>
  <si>
    <t xml:space="preserve">Tags: O/U Lean (no stake; graded W/L at season end) · Bet (firm placed) · Longshot (high-odds) · Pass (declined). Set Result to W/L/P when it resolves; Units auto-calcs for priced rows.</t>
  </si>
  <si>
    <t xml:space="preserve">Bills under 10.5</t>
  </si>
  <si>
    <t xml:space="preserve">Worst Buffalo roster in years</t>
  </si>
  <si>
    <t xml:space="preserve">00:16:03</t>
  </si>
  <si>
    <t xml:space="preserve">not enough this year. Under 10 and a half</t>
  </si>
  <si>
    <t xml:space="preserve">Bills (pass)</t>
  </si>
  <si>
    <t xml:space="preserve">Pass</t>
  </si>
  <si>
    <t xml:space="preserve">On the number; play alt instead</t>
  </si>
  <si>
    <t xml:space="preserve">00:18:52</t>
  </si>
  <si>
    <t xml:space="preserve">I'm going to pass on this</t>
  </si>
  <si>
    <t xml:space="preserve">Patriots under 10.5</t>
  </si>
  <si>
    <t xml:space="preserve">Has Pats at 10 wins</t>
  </si>
  <si>
    <t xml:space="preserve">00:24:28</t>
  </si>
  <si>
    <t xml:space="preserve">playing New England as a tiny under</t>
  </si>
  <si>
    <t xml:space="preserve">Patriots over 9.5</t>
  </si>
  <si>
    <t xml:space="preserve">-150</t>
  </si>
  <si>
    <t xml:space="preserve">Bet alt 9.5 laying juice</t>
  </si>
  <si>
    <t xml:space="preserve">00:32:24</t>
  </si>
  <si>
    <t xml:space="preserve">Give me the Patriots over 9 and 1/2</t>
  </si>
  <si>
    <t xml:space="preserve">Jets over 5.5</t>
  </si>
  <si>
    <t xml:space="preserve">Tiny over</t>
  </si>
  <si>
    <t xml:space="preserve">00:38:54</t>
  </si>
  <si>
    <t xml:space="preserve">playing a tiny over on the Jets</t>
  </si>
  <si>
    <t xml:space="preserve">Jets (pass)</t>
  </si>
  <si>
    <t xml:space="preserve">Numbers say over, won't bet coaches</t>
  </si>
  <si>
    <t xml:space="preserve">00:39:30</t>
  </si>
  <si>
    <t xml:space="preserve">my numbers say bet the over. I can't do it</t>
  </si>
  <si>
    <t xml:space="preserve">Also bet alt o6.5 (below)</t>
  </si>
  <si>
    <t xml:space="preserve">00:43:29</t>
  </si>
  <si>
    <t xml:space="preserve">I'm taking the Jets</t>
  </si>
  <si>
    <t xml:space="preserve">Jets over 6.5 (alt)</t>
  </si>
  <si>
    <t xml:space="preserve">Longshot</t>
  </si>
  <si>
    <t xml:space="preserve">+210</t>
  </si>
  <si>
    <t xml:space="preserve">Turnover regression thesis</t>
  </si>
  <si>
    <t xml:space="preserve">00:42:03</t>
  </si>
  <si>
    <t xml:space="preserve">going over adjusted six and a half wins at plus 210</t>
  </si>
  <si>
    <t xml:space="preserve">Dolphins under 3.5</t>
  </si>
  <si>
    <t xml:space="preserve">Can't get to 3 wins</t>
  </si>
  <si>
    <t xml:space="preserve">00:48:50</t>
  </si>
  <si>
    <t xml:space="preserve">I can't get to three wins ... it's an under</t>
  </si>
  <si>
    <t xml:space="preserve">Dolphins (pass)</t>
  </si>
  <si>
    <t xml:space="preserve">Priced properly</t>
  </si>
  <si>
    <t xml:space="preserve">00:49:59</t>
  </si>
  <si>
    <t xml:space="preserve">I can't get anywhere near this</t>
  </si>
  <si>
    <t xml:space="preserve">Dolphins over 3.5</t>
  </si>
  <si>
    <t xml:space="preserve">Wins 4-5; youngest team</t>
  </si>
  <si>
    <t xml:space="preserve">00:52:34</t>
  </si>
  <si>
    <t xml:space="preserve">I think they win four or five games. I'm going over</t>
  </si>
  <si>
    <t xml:space="preserve">Patriots to win AFC East</t>
  </si>
  <si>
    <t xml:space="preserve">Best team in division</t>
  </si>
  <si>
    <t xml:space="preserve">00:54:01</t>
  </si>
  <si>
    <t xml:space="preserve">going Patriots plus 130</t>
  </si>
  <si>
    <t xml:space="preserve">Patriots more wins than Bills</t>
  </si>
  <si>
    <t xml:space="preserve">+140</t>
  </si>
  <si>
    <t xml:space="preserve">Frisky add</t>
  </si>
  <si>
    <t xml:space="preserve">00:54:08</t>
  </si>
  <si>
    <t xml:space="preserve">pats more wins than the bills plus 140</t>
  </si>
  <si>
    <t xml:space="preserve">Bills to win AFC East</t>
  </si>
  <si>
    <t xml:space="preserve">-130</t>
  </si>
  <si>
    <t xml:space="preserve">Bills over Pats by a hair</t>
  </si>
  <si>
    <t xml:space="preserve">00:54:40</t>
  </si>
  <si>
    <t xml:space="preserve">play Buffalo to win the division</t>
  </si>
  <si>
    <t xml:space="preserve">Ravens under 11.5</t>
  </si>
  <si>
    <t xml:space="preserve">Better but ~11 wins</t>
  </si>
  <si>
    <t xml:space="preserve">00:07:06</t>
  </si>
  <si>
    <t xml:space="preserve">I have them under 11 and a half wins</t>
  </si>
  <si>
    <t xml:space="preserve">His first bet of the season</t>
  </si>
  <si>
    <t xml:space="preserve">00:07:16</t>
  </si>
  <si>
    <t xml:space="preserve">first bet ... Ravens under 11 and a half around minus 130</t>
  </si>
  <si>
    <t xml:space="preserve">Ravens over 10.5</t>
  </si>
  <si>
    <t xml:space="preserve">Health bet; long-tail team</t>
  </si>
  <si>
    <t xml:space="preserve">00:10:51</t>
  </si>
  <si>
    <t xml:space="preserve">give me the over 10 and a half</t>
  </si>
  <si>
    <t xml:space="preserve">Bengals over 10.5</t>
  </si>
  <si>
    <t xml:space="preserve">Continuity + schedule</t>
  </si>
  <si>
    <t xml:space="preserve">00:14:20</t>
  </si>
  <si>
    <t xml:space="preserve">over 10 and a half is my happy place</t>
  </si>
  <si>
    <t xml:space="preserve">Bengals under 10.5</t>
  </si>
  <si>
    <t xml:space="preserve">Slow starts under Taylor</t>
  </si>
  <si>
    <t xml:space="preserve">00:22:07</t>
  </si>
  <si>
    <t xml:space="preserve">I'm going under 10 and a half wins</t>
  </si>
  <si>
    <t xml:space="preserve">Steelers under 8.5</t>
  </si>
  <si>
    <t xml:space="preserve">No Tomlin one-score voodoo</t>
  </si>
  <si>
    <t xml:space="preserve">00:26:15</t>
  </si>
  <si>
    <t xml:space="preserve">under eight and a half is my play</t>
  </si>
  <si>
    <t xml:space="preserve">Pythag regression</t>
  </si>
  <si>
    <t xml:space="preserve">00:28:11</t>
  </si>
  <si>
    <t xml:space="preserve">This team's going under eight and a half</t>
  </si>
  <si>
    <t xml:space="preserve">Steelers over 8.5</t>
  </si>
  <si>
    <t xml:space="preserve">Over ~+120; likes roster</t>
  </si>
  <si>
    <t xml:space="preserve">00:31:59</t>
  </si>
  <si>
    <t xml:space="preserve">I'll go over. I don't love it though</t>
  </si>
  <si>
    <t xml:space="preserve">Browns under 5.5</t>
  </si>
  <si>
    <t xml:space="preserve">QB mess; may tank late</t>
  </si>
  <si>
    <t xml:space="preserve">00:36:35</t>
  </si>
  <si>
    <t xml:space="preserve">it's an under for me</t>
  </si>
  <si>
    <t xml:space="preserve">Historically bad offense</t>
  </si>
  <si>
    <t xml:space="preserve">00:37:16</t>
  </si>
  <si>
    <t xml:space="preserve">you also have the under</t>
  </si>
  <si>
    <t xml:space="preserve">Browns over 5.5</t>
  </si>
  <si>
    <t xml:space="preserve">Reluctant over; live in division</t>
  </si>
  <si>
    <t xml:space="preserve">00:41:48</t>
  </si>
  <si>
    <t xml:space="preserve">reluctantly go over five and a half wins</t>
  </si>
  <si>
    <t xml:space="preserve">Group (House/Raheem/Bundo/Sal)</t>
  </si>
  <si>
    <t xml:space="preserve">AFC North alt-win 4-leg parlay</t>
  </si>
  <si>
    <t xml:space="preserve">+7000</t>
  </si>
  <si>
    <t xml:space="preserve">Legs: House Bengals o11.5 (+175), Raheem Ravens o12.5 (+220), Bundo Pittsburgh o9.5 (+200), Sal Browns u4.5 (+170)</t>
  </si>
  <si>
    <t xml:space="preserve">00:55:05</t>
  </si>
  <si>
    <t xml:space="preserve">Each of us pick a team's alt-win total</t>
  </si>
  <si>
    <t xml:space="preserve">Denzel Boston - Offensive ROY</t>
  </si>
  <si>
    <t xml:space="preserve">+4000</t>
  </si>
  <si>
    <t xml:space="preserve">Browns WR; upside in open race</t>
  </si>
  <si>
    <t xml:space="preserve">00:54:39</t>
  </si>
  <si>
    <t xml:space="preserve">Boston 40 to1 offensive rookie of the year</t>
  </si>
  <si>
    <t xml:space="preserve">Tate Frazier</t>
  </si>
  <si>
    <t xml:space="preserve">Denzel Boston - Most Rookie Rec Yds</t>
  </si>
  <si>
    <t xml:space="preserve">+1200</t>
  </si>
  <si>
    <t xml:space="preserve">Browns rookie WR</t>
  </si>
  <si>
    <t xml:space="preserve">01:12:29</t>
  </si>
  <si>
    <t xml:space="preserve">Plus 1,200 ... most rookie receiving yards</t>
  </si>
  <si>
    <t xml:space="preserve">Bengals to win AFC North</t>
  </si>
  <si>
    <t xml:space="preserve">Odds not stated on air</t>
  </si>
  <si>
    <t xml:space="preserve">01:21:48</t>
  </si>
  <si>
    <t xml:space="preserve">I'm on the Bengals to win the division</t>
  </si>
  <si>
    <t xml:space="preserve">Bengals over 12 wins</t>
  </si>
  <si>
    <t xml:space="preserve">01:21:49</t>
  </si>
  <si>
    <t xml:space="preserve">on the Bengals to get to 12 wins</t>
  </si>
  <si>
    <t xml:space="preserve">Joe Burrow over 3,900 pass yds</t>
  </si>
  <si>
    <t xml:space="preserve">01:21:44</t>
  </si>
  <si>
    <t xml:space="preserve">on Burrow to throw over 3,900 yards</t>
  </si>
  <si>
    <t xml:space="preserve">8/11</t>
  </si>
  <si>
    <t xml:space="preserve">Big Ten and ACC Preview</t>
  </si>
  <si>
    <t xml:space="preserve">Louisville to make CFP</t>
  </si>
  <si>
    <t xml:space="preserve">+460</t>
  </si>
  <si>
    <t xml:space="preserve">NCAAF</t>
  </si>
  <si>
    <t xml:space="preserve">2026 CFP selection (Dec)</t>
  </si>
  <si>
    <t xml:space="preserve">Fade IND &amp; MIA; doable schedule</t>
  </si>
  <si>
    <t xml:space="preserve">01:05:37</t>
  </si>
  <si>
    <t xml:space="preserve">I'll go plus 460 for Louisville</t>
  </si>
  <si>
    <t xml:space="preserve">Switched off SMU to Louisville</t>
  </si>
  <si>
    <t xml:space="preserve">01:06:09</t>
  </si>
  <si>
    <t xml:space="preserve">I like Louisville plus 460 as well</t>
  </si>
  <si>
    <t xml:space="preserve">Miami to win ACC</t>
  </si>
  <si>
    <t xml:space="preserve">-140</t>
  </si>
  <si>
    <t xml:space="preserve">2026 conf title (Dec)</t>
  </si>
  <si>
    <t xml:space="preserve">Best team; chalk</t>
  </si>
  <si>
    <t xml:space="preserve">01:07:38</t>
  </si>
  <si>
    <t xml:space="preserve">going Oregon and Miami at minus 140</t>
  </si>
  <si>
    <t xml:space="preserve">SMU to win ACC</t>
  </si>
  <si>
    <t xml:space="preserve">+750</t>
  </si>
  <si>
    <t xml:space="preserve">Pinned to the Mustangs</t>
  </si>
  <si>
    <t xml:space="preserve">01:08:08</t>
  </si>
  <si>
    <t xml:space="preserve">I'm going to say SMU plus 750</t>
  </si>
  <si>
    <t xml:space="preserve">Darien Mensah - Heisman</t>
  </si>
  <si>
    <t xml:space="preserve">+1100</t>
  </si>
  <si>
    <t xml:space="preserve">2026 Heisman (Dec)</t>
  </si>
  <si>
    <t xml:space="preserve">Miami QB</t>
  </si>
  <si>
    <t xml:space="preserve">01:06:22</t>
  </si>
  <si>
    <t xml:space="preserve">take ... Darien Mensah. 11 to1</t>
  </si>
  <si>
    <t xml:space="preserve">Malachi Tony - Heisman</t>
  </si>
  <si>
    <t xml:space="preserve">+3500</t>
  </si>
  <si>
    <t xml:space="preserve">Miami WR; freshman breakout</t>
  </si>
  <si>
    <t xml:space="preserve">01:07:00</t>
  </si>
  <si>
    <t xml:space="preserve">Malachi Tony ... plus 3500</t>
  </si>
  <si>
    <t xml:space="preserve">Boston College over 3.5 wins</t>
  </si>
  <si>
    <t xml:space="preserve">End of 2026 CFB season</t>
  </si>
  <si>
    <t xml:space="preserve">Odds not stated; likes O'Brien+transfers</t>
  </si>
  <si>
    <t xml:space="preserve">01:04:39</t>
  </si>
  <si>
    <t xml:space="preserve">Give me the over for BC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</si>
</sst>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.00"/>
    <numFmt numFmtId="167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E7F5E9"/>
        <bgColor rgb="FFE8EEF7"/>
      </patternFill>
    </fill>
    <fill>
      <patternFill patternType="solid">
        <fgColor rgb="FFFBE9E7"/>
        <bgColor rgb="FFF3E8F7"/>
      </patternFill>
    </fill>
    <fill>
      <patternFill patternType="solid">
        <fgColor rgb="FFE8EEF7"/>
        <bgColor rgb="FFE7F5E9"/>
      </patternFill>
    </fill>
    <fill>
      <patternFill patternType="solid">
        <fgColor rgb="FFFFF7D6"/>
        <bgColor rgb="FFFBE9E7"/>
      </patternFill>
    </fill>
    <fill>
      <patternFill patternType="solid">
        <fgColor rgb="FFF3E8F7"/>
        <bgColor rgb="FFFBE9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D6"/>
      <rgbColor rgb="FFE7F5E9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7"/>
      <rgbColor rgb="FFF3E8F7"/>
      <rgbColor rgb="FFFB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38"/>
    <col collapsed="false" customWidth="true" hidden="false" outlineLevel="0" max="3" min="3" style="1" width="18"/>
    <col collapsed="false" customWidth="true" hidden="false" outlineLevel="0" max="4" min="4" style="1" width="32"/>
    <col collapsed="false" customWidth="true" hidden="false" outlineLevel="0" max="5" min="5" style="1" width="11"/>
    <col collapsed="false" customWidth="true" hidden="false" outlineLevel="0" max="6" min="6" style="1" width="7"/>
    <col collapsed="false" customWidth="true" hidden="false" outlineLevel="0" max="7" min="7" style="1" width="9"/>
    <col collapsed="false" customWidth="true" hidden="false" outlineLevel="0" max="8" min="8" style="1" width="8"/>
    <col collapsed="false" customWidth="true" hidden="false" outlineLevel="0" max="9" min="9" style="1" width="7"/>
    <col collapsed="false" customWidth="true" hidden="false" outlineLevel="0" max="10" min="10" style="1" width="40"/>
    <col collapsed="false" customWidth="true" hidden="false" outlineLevel="0" max="11" min="11" style="1" width="11"/>
    <col collapsed="false" customWidth="true" hidden="false" outlineLevel="0" max="12" min="12" style="1" width="44"/>
    <col collapsed="false" customWidth="true" hidden="false" outlineLevel="0" max="14" min="14" style="1" width="16"/>
    <col collapsed="false" customWidth="true" hidden="false" outlineLevel="0" max="15" min="15" style="1" width="12"/>
  </cols>
  <sheetData>
    <row r="1" customFormat="false" ht="21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N1" s="3" t="s">
        <v>12</v>
      </c>
    </row>
    <row r="2" customFormat="false" ht="26.25" hidden="false" customHeight="true" outlineLevel="0" collapsed="false">
      <c r="A2" s="4" t="s">
        <v>13</v>
      </c>
      <c r="B2" s="5" t="s">
        <v>14</v>
      </c>
      <c r="C2" s="6" t="s">
        <v>15</v>
      </c>
      <c r="D2" s="6" t="s">
        <v>16</v>
      </c>
      <c r="E2" s="6" t="s">
        <v>17</v>
      </c>
      <c r="F2" s="4" t="s">
        <v>18</v>
      </c>
      <c r="G2" s="7" t="s">
        <v>19</v>
      </c>
      <c r="H2" s="8" t="n">
        <f aca="false">IF(F2="","",IF(G2="W",ROUND(1+IF(VALUE(SUBSTITUTE(F2,"+",""))&gt;0,VALUE(SUBSTITUTE(F2,"+",""))/100,100/ABS(VALUE(SUBSTITUTE(F2,"+","")))),2),IF(G2="L",0,IF(G2="P",1,""))))</f>
        <v>2.3</v>
      </c>
      <c r="I2" s="6" t="s">
        <v>20</v>
      </c>
      <c r="J2" s="5" t="s">
        <v>21</v>
      </c>
      <c r="K2" s="6" t="s">
        <v>22</v>
      </c>
      <c r="L2" s="5" t="s">
        <v>23</v>
      </c>
      <c r="N2" s="9" t="s">
        <v>24</v>
      </c>
      <c r="O2" s="10" t="str">
        <f aca="false">COUNTIF(G2:G200,"W")&amp;"-"&amp;COUNTIF(G2:G200,"L")&amp;"-"&amp;COUNTIF(G2:G200,"P")</f>
        <v>9-9-0</v>
      </c>
    </row>
    <row r="3" customFormat="false" ht="26.25" hidden="false" customHeight="true" outlineLevel="0" collapsed="false">
      <c r="A3" s="4" t="s">
        <v>13</v>
      </c>
      <c r="B3" s="5" t="s">
        <v>14</v>
      </c>
      <c r="C3" s="6" t="s">
        <v>25</v>
      </c>
      <c r="D3" s="6" t="s">
        <v>26</v>
      </c>
      <c r="E3" s="6" t="s">
        <v>27</v>
      </c>
      <c r="F3" s="4" t="s">
        <v>28</v>
      </c>
      <c r="G3" s="7" t="s">
        <v>19</v>
      </c>
      <c r="H3" s="8" t="n">
        <f aca="false">IF(F3="","",IF(G3="W",ROUND(1+IF(VALUE(SUBSTITUTE(F3,"+",""))&gt;0,VALUE(SUBSTITUTE(F3,"+",""))/100,100/ABS(VALUE(SUBSTITUTE(F3,"+","")))),2),IF(G3="L",0,IF(G3="P",1,""))))</f>
        <v>1.85</v>
      </c>
      <c r="I3" s="6" t="s">
        <v>20</v>
      </c>
      <c r="J3" s="5" t="s">
        <v>29</v>
      </c>
      <c r="K3" s="6" t="s">
        <v>30</v>
      </c>
      <c r="L3" s="5" t="s">
        <v>31</v>
      </c>
      <c r="N3" s="9" t="s">
        <v>32</v>
      </c>
      <c r="O3" s="11" t="n">
        <f aca="false">IFERROR(COUNTIF(G2:G200,"W")/(COUNTIF(G2:G200,"W")+COUNTIF(G2:G200,"L")),"")</f>
        <v>0.5</v>
      </c>
    </row>
    <row r="4" customFormat="false" ht="26.25" hidden="false" customHeight="true" outlineLevel="0" collapsed="false">
      <c r="A4" s="4" t="s">
        <v>13</v>
      </c>
      <c r="B4" s="5" t="s">
        <v>14</v>
      </c>
      <c r="C4" s="6" t="s">
        <v>25</v>
      </c>
      <c r="D4" s="6" t="s">
        <v>33</v>
      </c>
      <c r="E4" s="6" t="s">
        <v>17</v>
      </c>
      <c r="F4" s="4" t="s">
        <v>34</v>
      </c>
      <c r="G4" s="7" t="s">
        <v>19</v>
      </c>
      <c r="H4" s="8" t="n">
        <f aca="false">IF(F4="","",IF(G4="W",ROUND(1+IF(VALUE(SUBSTITUTE(F4,"+",""))&gt;0,VALUE(SUBSTITUTE(F4,"+",""))/100,100/ABS(VALUE(SUBSTITUTE(F4,"+","")))),2),IF(G4="L",0,IF(G4="P",1,""))))</f>
        <v>2.81</v>
      </c>
      <c r="I4" s="6" t="s">
        <v>20</v>
      </c>
      <c r="J4" s="5" t="s">
        <v>35</v>
      </c>
      <c r="K4" s="6" t="s">
        <v>36</v>
      </c>
      <c r="L4" s="5" t="s">
        <v>37</v>
      </c>
      <c r="N4" s="9" t="s">
        <v>38</v>
      </c>
      <c r="O4" s="10" t="n">
        <f aca="false">ROUND(SUM(H2:H200),2)</f>
        <v>18.01</v>
      </c>
    </row>
    <row r="5" customFormat="false" ht="26.25" hidden="false" customHeight="true" outlineLevel="0" collapsed="false">
      <c r="A5" s="4" t="s">
        <v>13</v>
      </c>
      <c r="B5" s="5" t="s">
        <v>14</v>
      </c>
      <c r="C5" s="6" t="s">
        <v>39</v>
      </c>
      <c r="D5" s="6" t="s">
        <v>40</v>
      </c>
      <c r="E5" s="6" t="s">
        <v>41</v>
      </c>
      <c r="F5" s="4" t="s">
        <v>42</v>
      </c>
      <c r="G5" s="7" t="s">
        <v>19</v>
      </c>
      <c r="H5" s="8" t="n">
        <f aca="false">IF(F5="","",IF(G5="W",ROUND(1+IF(VALUE(SUBSTITUTE(F5,"+",""))&gt;0,VALUE(SUBSTITUTE(F5,"+",""))/100,100/ABS(VALUE(SUBSTITUTE(F5,"+","")))),2),IF(G5="L",0,IF(G5="P",1,""))))</f>
        <v>1.7</v>
      </c>
      <c r="I5" s="6" t="s">
        <v>20</v>
      </c>
      <c r="J5" s="5" t="s">
        <v>43</v>
      </c>
      <c r="K5" s="6" t="s">
        <v>44</v>
      </c>
      <c r="L5" s="5" t="s">
        <v>45</v>
      </c>
      <c r="N5" s="9" t="s">
        <v>46</v>
      </c>
      <c r="O5" s="10" t="n">
        <f aca="false">ROUND(SUM(H2:H200)-COUNT(H2:H200),2)</f>
        <v>0.01</v>
      </c>
    </row>
    <row r="6" customFormat="false" ht="26.25" hidden="false" customHeight="true" outlineLevel="0" collapsed="false">
      <c r="A6" s="4" t="s">
        <v>13</v>
      </c>
      <c r="B6" s="5" t="s">
        <v>14</v>
      </c>
      <c r="C6" s="6" t="s">
        <v>47</v>
      </c>
      <c r="D6" s="6" t="s">
        <v>48</v>
      </c>
      <c r="E6" s="6" t="s">
        <v>49</v>
      </c>
      <c r="F6" s="4" t="s">
        <v>50</v>
      </c>
      <c r="G6" s="12" t="s">
        <v>51</v>
      </c>
      <c r="H6" s="8" t="n">
        <f aca="false">IF(F6="","",IF(G6="W",ROUND(1+IF(VALUE(SUBSTITUTE(F6,"+",""))&gt;0,VALUE(SUBSTITUTE(F6,"+",""))/100,100/ABS(VALUE(SUBSTITUTE(F6,"+","")))),2),IF(G6="L",0,IF(G6="P",1,""))))</f>
        <v>0</v>
      </c>
      <c r="I6" s="6" t="s">
        <v>20</v>
      </c>
      <c r="J6" s="5" t="s">
        <v>52</v>
      </c>
      <c r="K6" s="6" t="s">
        <v>53</v>
      </c>
      <c r="L6" s="5" t="s">
        <v>54</v>
      </c>
      <c r="N6" s="9" t="s">
        <v>55</v>
      </c>
      <c r="O6" s="10" t="n">
        <f aca="false">COUNT(H2:H200)</f>
        <v>18</v>
      </c>
    </row>
    <row r="7" customFormat="false" ht="15" hidden="false" customHeight="true" outlineLevel="0" collapsed="false">
      <c r="A7" s="4" t="s">
        <v>56</v>
      </c>
      <c r="B7" s="5" t="s">
        <v>57</v>
      </c>
      <c r="C7" s="6" t="s">
        <v>25</v>
      </c>
      <c r="D7" s="6" t="s">
        <v>58</v>
      </c>
      <c r="E7" s="6" t="s">
        <v>41</v>
      </c>
      <c r="F7" s="4" t="s">
        <v>59</v>
      </c>
      <c r="G7" s="7" t="s">
        <v>19</v>
      </c>
      <c r="H7" s="8" t="n">
        <f aca="false">IF(F7="","",IF(G7="W",ROUND(1+IF(VALUE(SUBSTITUTE(F7,"+",""))&gt;0,VALUE(SUBSTITUTE(F7,"+",""))/100,100/ABS(VALUE(SUBSTITUTE(F7,"+","")))),2),IF(G7="L",0,IF(G7="P",1,""))))</f>
        <v>1.69</v>
      </c>
      <c r="I7" s="6" t="s">
        <v>20</v>
      </c>
      <c r="J7" s="5" t="s">
        <v>60</v>
      </c>
      <c r="K7" s="6" t="s">
        <v>61</v>
      </c>
      <c r="L7" s="5" t="s">
        <v>62</v>
      </c>
    </row>
    <row r="8" customFormat="false" ht="15" hidden="false" customHeight="true" outlineLevel="0" collapsed="false">
      <c r="A8" s="4" t="s">
        <v>56</v>
      </c>
      <c r="B8" s="5" t="s">
        <v>57</v>
      </c>
      <c r="C8" s="6" t="s">
        <v>47</v>
      </c>
      <c r="D8" s="6" t="s">
        <v>63</v>
      </c>
      <c r="E8" s="6" t="s">
        <v>41</v>
      </c>
      <c r="F8" s="4" t="s">
        <v>64</v>
      </c>
      <c r="G8" s="12" t="s">
        <v>51</v>
      </c>
      <c r="H8" s="8" t="n">
        <f aca="false">IF(F8="","",IF(G8="W",ROUND(1+IF(VALUE(SUBSTITUTE(F8,"+",""))&gt;0,VALUE(SUBSTITUTE(F8,"+",""))/100,100/ABS(VALUE(SUBSTITUTE(F8,"+","")))),2),IF(G8="L",0,IF(G8="P",1,""))))</f>
        <v>0</v>
      </c>
      <c r="I8" s="6" t="s">
        <v>20</v>
      </c>
      <c r="J8" s="5" t="s">
        <v>65</v>
      </c>
      <c r="K8" s="6" t="s">
        <v>66</v>
      </c>
      <c r="L8" s="5" t="s">
        <v>67</v>
      </c>
      <c r="N8" s="13" t="s">
        <v>68</v>
      </c>
      <c r="O8" s="13"/>
    </row>
    <row r="9" customFormat="false" ht="15" hidden="false" customHeight="true" outlineLevel="0" collapsed="false">
      <c r="A9" s="4" t="s">
        <v>56</v>
      </c>
      <c r="B9" s="5" t="s">
        <v>57</v>
      </c>
      <c r="C9" s="6" t="s">
        <v>47</v>
      </c>
      <c r="D9" s="6" t="s">
        <v>69</v>
      </c>
      <c r="E9" s="6" t="s">
        <v>41</v>
      </c>
      <c r="F9" s="4" t="s">
        <v>70</v>
      </c>
      <c r="G9" s="12" t="s">
        <v>51</v>
      </c>
      <c r="H9" s="8" t="n">
        <f aca="false">IF(F9="","",IF(G9="W",ROUND(1+IF(VALUE(SUBSTITUTE(F9,"+",""))&gt;0,VALUE(SUBSTITUTE(F9,"+",""))/100,100/ABS(VALUE(SUBSTITUTE(F9,"+","")))),2),IF(G9="L",0,IF(G9="P",1,""))))</f>
        <v>0</v>
      </c>
      <c r="I9" s="6" t="s">
        <v>20</v>
      </c>
      <c r="J9" s="5" t="s">
        <v>71</v>
      </c>
      <c r="K9" s="6" t="s">
        <v>72</v>
      </c>
      <c r="L9" s="5" t="s">
        <v>73</v>
      </c>
      <c r="N9" s="13"/>
      <c r="O9" s="13"/>
    </row>
    <row r="10" customFormat="false" ht="15" hidden="false" customHeight="true" outlineLevel="0" collapsed="false">
      <c r="A10" s="4" t="s">
        <v>56</v>
      </c>
      <c r="B10" s="5" t="s">
        <v>57</v>
      </c>
      <c r="C10" s="6" t="s">
        <v>15</v>
      </c>
      <c r="D10" s="6" t="s">
        <v>74</v>
      </c>
      <c r="E10" s="6" t="s">
        <v>17</v>
      </c>
      <c r="F10" s="4" t="s">
        <v>75</v>
      </c>
      <c r="G10" s="12" t="s">
        <v>51</v>
      </c>
      <c r="H10" s="8" t="n">
        <f aca="false">IF(F10="","",IF(G10="W",ROUND(1+IF(VALUE(SUBSTITUTE(F10,"+",""))&gt;0,VALUE(SUBSTITUTE(F10,"+",""))/100,100/ABS(VALUE(SUBSTITUTE(F10,"+","")))),2),IF(G10="L",0,IF(G10="P",1,""))))</f>
        <v>0</v>
      </c>
      <c r="I10" s="6" t="s">
        <v>20</v>
      </c>
      <c r="J10" s="5" t="s">
        <v>76</v>
      </c>
      <c r="K10" s="6" t="s">
        <v>77</v>
      </c>
      <c r="L10" s="5" t="s">
        <v>78</v>
      </c>
      <c r="N10" s="13"/>
      <c r="O10" s="13"/>
    </row>
    <row r="11" customFormat="false" ht="26.25" hidden="false" customHeight="true" outlineLevel="0" collapsed="false">
      <c r="A11" s="4" t="s">
        <v>56</v>
      </c>
      <c r="B11" s="5" t="s">
        <v>57</v>
      </c>
      <c r="C11" s="6" t="s">
        <v>39</v>
      </c>
      <c r="D11" s="6" t="s">
        <v>79</v>
      </c>
      <c r="E11" s="6" t="s">
        <v>41</v>
      </c>
      <c r="F11" s="4" t="s">
        <v>64</v>
      </c>
      <c r="G11" s="7" t="s">
        <v>19</v>
      </c>
      <c r="H11" s="8" t="n">
        <f aca="false">IF(F11="","",IF(G11="W",ROUND(1+IF(VALUE(SUBSTITUTE(F11,"+",""))&gt;0,VALUE(SUBSTITUTE(F11,"+",""))/100,100/ABS(VALUE(SUBSTITUTE(F11,"+","")))),2),IF(G11="L",0,IF(G11="P",1,""))))</f>
        <v>1.68</v>
      </c>
      <c r="I11" s="6" t="s">
        <v>20</v>
      </c>
      <c r="J11" s="5" t="s">
        <v>80</v>
      </c>
      <c r="K11" s="6" t="s">
        <v>81</v>
      </c>
      <c r="L11" s="5" t="s">
        <v>82</v>
      </c>
      <c r="N11" s="13"/>
      <c r="O11" s="13"/>
    </row>
    <row r="12" customFormat="false" ht="26.25" hidden="false" customHeight="true" outlineLevel="0" collapsed="false">
      <c r="A12" s="4" t="s">
        <v>83</v>
      </c>
      <c r="B12" s="5" t="s">
        <v>84</v>
      </c>
      <c r="C12" s="6" t="s">
        <v>47</v>
      </c>
      <c r="D12" s="6" t="s">
        <v>85</v>
      </c>
      <c r="E12" s="6" t="s">
        <v>86</v>
      </c>
      <c r="F12" s="4" t="s">
        <v>87</v>
      </c>
      <c r="G12" s="12" t="s">
        <v>51</v>
      </c>
      <c r="H12" s="8" t="n">
        <f aca="false">IF(F12="","",IF(G12="W",ROUND(1+IF(VALUE(SUBSTITUTE(F12,"+",""))&gt;0,VALUE(SUBSTITUTE(F12,"+",""))/100,100/ABS(VALUE(SUBSTITUTE(F12,"+","")))),2),IF(G12="L",0,IF(G12="P",1,""))))</f>
        <v>0</v>
      </c>
      <c r="I12" s="6" t="s">
        <v>20</v>
      </c>
      <c r="J12" s="5" t="s">
        <v>88</v>
      </c>
      <c r="K12" s="6" t="s">
        <v>89</v>
      </c>
      <c r="L12" s="5" t="s">
        <v>90</v>
      </c>
      <c r="N12" s="13"/>
      <c r="O12" s="13"/>
    </row>
    <row r="13" customFormat="false" ht="26.25" hidden="false" customHeight="true" outlineLevel="0" collapsed="false">
      <c r="A13" s="4" t="s">
        <v>83</v>
      </c>
      <c r="B13" s="5" t="s">
        <v>84</v>
      </c>
      <c r="C13" s="6" t="s">
        <v>15</v>
      </c>
      <c r="D13" s="6" t="s">
        <v>91</v>
      </c>
      <c r="E13" s="6" t="s">
        <v>49</v>
      </c>
      <c r="F13" s="4" t="s">
        <v>92</v>
      </c>
      <c r="G13" s="7" t="s">
        <v>19</v>
      </c>
      <c r="H13" s="8" t="n">
        <f aca="false">IF(F13="","",IF(G13="W",ROUND(1+IF(VALUE(SUBSTITUTE(F13,"+",""))&gt;0,VALUE(SUBSTITUTE(F13,"+",""))/100,100/ABS(VALUE(SUBSTITUTE(F13,"+","")))),2),IF(G13="L",0,IF(G13="P",1,""))))</f>
        <v>2</v>
      </c>
      <c r="I13" s="6" t="s">
        <v>20</v>
      </c>
      <c r="J13" s="5" t="s">
        <v>93</v>
      </c>
      <c r="K13" s="6" t="s">
        <v>94</v>
      </c>
      <c r="L13" s="5" t="s">
        <v>95</v>
      </c>
    </row>
    <row r="14" customFormat="false" ht="26.25" hidden="false" customHeight="true" outlineLevel="0" collapsed="false">
      <c r="A14" s="4" t="s">
        <v>83</v>
      </c>
      <c r="B14" s="5" t="s">
        <v>84</v>
      </c>
      <c r="C14" s="6" t="s">
        <v>39</v>
      </c>
      <c r="D14" s="6" t="s">
        <v>96</v>
      </c>
      <c r="E14" s="6" t="s">
        <v>41</v>
      </c>
      <c r="F14" s="4" t="s">
        <v>64</v>
      </c>
      <c r="G14" s="12" t="s">
        <v>51</v>
      </c>
      <c r="H14" s="8" t="n">
        <f aca="false">IF(F14="","",IF(G14="W",ROUND(1+IF(VALUE(SUBSTITUTE(F14,"+",""))&gt;0,VALUE(SUBSTITUTE(F14,"+",""))/100,100/ABS(VALUE(SUBSTITUTE(F14,"+","")))),2),IF(G14="L",0,IF(G14="P",1,""))))</f>
        <v>0</v>
      </c>
      <c r="I14" s="6" t="s">
        <v>20</v>
      </c>
      <c r="J14" s="5" t="s">
        <v>97</v>
      </c>
      <c r="K14" s="6" t="s">
        <v>98</v>
      </c>
      <c r="L14" s="5" t="s">
        <v>99</v>
      </c>
    </row>
    <row r="15" customFormat="false" ht="15" hidden="false" customHeight="true" outlineLevel="0" collapsed="false">
      <c r="A15" s="4" t="s">
        <v>100</v>
      </c>
      <c r="B15" s="5" t="s">
        <v>101</v>
      </c>
      <c r="C15" s="6" t="s">
        <v>39</v>
      </c>
      <c r="D15" s="6" t="s">
        <v>102</v>
      </c>
      <c r="E15" s="6" t="s">
        <v>27</v>
      </c>
      <c r="F15" s="4" t="s">
        <v>103</v>
      </c>
      <c r="G15" s="12" t="s">
        <v>51</v>
      </c>
      <c r="H15" s="8" t="n">
        <f aca="false">IF(F15="","",IF(G15="W",ROUND(1+IF(VALUE(SUBSTITUTE(F15,"+",""))&gt;0,VALUE(SUBSTITUTE(F15,"+",""))/100,100/ABS(VALUE(SUBSTITUTE(F15,"+","")))),2),IF(G15="L",0,IF(G15="P",1,""))))</f>
        <v>0</v>
      </c>
      <c r="I15" s="6" t="s">
        <v>104</v>
      </c>
      <c r="J15" s="5" t="s">
        <v>105</v>
      </c>
      <c r="K15" s="6"/>
      <c r="L15" s="5" t="s">
        <v>106</v>
      </c>
    </row>
    <row r="16" customFormat="false" ht="15" hidden="false" customHeight="true" outlineLevel="0" collapsed="false">
      <c r="A16" s="4" t="s">
        <v>100</v>
      </c>
      <c r="B16" s="5" t="s">
        <v>101</v>
      </c>
      <c r="C16" s="6" t="s">
        <v>39</v>
      </c>
      <c r="D16" s="6" t="s">
        <v>107</v>
      </c>
      <c r="E16" s="6" t="s">
        <v>27</v>
      </c>
      <c r="F16" s="4" t="s">
        <v>108</v>
      </c>
      <c r="G16" s="12" t="s">
        <v>51</v>
      </c>
      <c r="H16" s="8" t="n">
        <f aca="false">IF(F16="","",IF(G16="W",ROUND(1+IF(VALUE(SUBSTITUTE(F16,"+",""))&gt;0,VALUE(SUBSTITUTE(F16,"+",""))/100,100/ABS(VALUE(SUBSTITUTE(F16,"+","")))),2),IF(G16="L",0,IF(G16="P",1,""))))</f>
        <v>0</v>
      </c>
      <c r="I16" s="6" t="s">
        <v>104</v>
      </c>
      <c r="J16" s="5" t="s">
        <v>109</v>
      </c>
      <c r="K16" s="6"/>
      <c r="L16" s="5" t="s">
        <v>106</v>
      </c>
    </row>
    <row r="17" customFormat="false" ht="15" hidden="false" customHeight="true" outlineLevel="0" collapsed="false">
      <c r="A17" s="4" t="s">
        <v>100</v>
      </c>
      <c r="B17" s="5" t="s">
        <v>101</v>
      </c>
      <c r="C17" s="6" t="s">
        <v>25</v>
      </c>
      <c r="D17" s="6" t="s">
        <v>79</v>
      </c>
      <c r="E17" s="6" t="s">
        <v>41</v>
      </c>
      <c r="F17" s="4" t="s">
        <v>110</v>
      </c>
      <c r="G17" s="7" t="s">
        <v>19</v>
      </c>
      <c r="H17" s="8" t="n">
        <f aca="false">IF(F17="","",IF(G17="W",ROUND(1+IF(VALUE(SUBSTITUTE(F17,"+",""))&gt;0,VALUE(SUBSTITUTE(F17,"+",""))/100,100/ABS(VALUE(SUBSTITUTE(F17,"+","")))),2),IF(G17="L",0,IF(G17="P",1,""))))</f>
        <v>1.83</v>
      </c>
      <c r="I17" s="6" t="s">
        <v>20</v>
      </c>
      <c r="J17" s="5" t="s">
        <v>111</v>
      </c>
      <c r="K17" s="6"/>
      <c r="L17" s="5" t="s">
        <v>106</v>
      </c>
    </row>
    <row r="18" customFormat="false" ht="15" hidden="false" customHeight="true" outlineLevel="0" collapsed="false">
      <c r="A18" s="4" t="s">
        <v>100</v>
      </c>
      <c r="B18" s="5" t="s">
        <v>101</v>
      </c>
      <c r="C18" s="6" t="s">
        <v>15</v>
      </c>
      <c r="D18" s="6" t="s">
        <v>112</v>
      </c>
      <c r="E18" s="6" t="s">
        <v>41</v>
      </c>
      <c r="F18" s="4" t="s">
        <v>113</v>
      </c>
      <c r="G18" s="12" t="s">
        <v>51</v>
      </c>
      <c r="H18" s="8" t="n">
        <f aca="false">IF(F18="","",IF(G18="W",ROUND(1+IF(VALUE(SUBSTITUTE(F18,"+",""))&gt;0,VALUE(SUBSTITUTE(F18,"+",""))/100,100/ABS(VALUE(SUBSTITUTE(F18,"+","")))),2),IF(G18="L",0,IF(G18="P",1,""))))</f>
        <v>0</v>
      </c>
      <c r="I18" s="6" t="s">
        <v>20</v>
      </c>
      <c r="J18" s="5" t="s">
        <v>114</v>
      </c>
      <c r="K18" s="6"/>
      <c r="L18" s="5" t="s">
        <v>106</v>
      </c>
    </row>
    <row r="19" customFormat="false" ht="15" hidden="false" customHeight="true" outlineLevel="0" collapsed="false">
      <c r="A19" s="4" t="s">
        <v>100</v>
      </c>
      <c r="B19" s="5" t="s">
        <v>101</v>
      </c>
      <c r="C19" s="6" t="s">
        <v>47</v>
      </c>
      <c r="D19" s="6" t="s">
        <v>115</v>
      </c>
      <c r="E19" s="6" t="s">
        <v>41</v>
      </c>
      <c r="F19" s="4" t="s">
        <v>116</v>
      </c>
      <c r="G19" s="7" t="s">
        <v>19</v>
      </c>
      <c r="H19" s="8" t="n">
        <f aca="false">IF(F19="","",IF(G19="W",ROUND(1+IF(VALUE(SUBSTITUTE(F19,"+",""))&gt;0,VALUE(SUBSTITUTE(F19,"+",""))/100,100/ABS(VALUE(SUBSTITUTE(F19,"+","")))),2),IF(G19="L",0,IF(G19="P",1,""))))</f>
        <v>2.15</v>
      </c>
      <c r="I19" s="6" t="s">
        <v>20</v>
      </c>
      <c r="J19" s="5" t="s">
        <v>117</v>
      </c>
      <c r="K19" s="6"/>
      <c r="L19" s="5" t="s">
        <v>106</v>
      </c>
    </row>
  </sheetData>
  <mergeCells count="1">
    <mergeCell ref="N8:O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4" min="4" style="1" width="38"/>
    <col collapsed="false" customWidth="true" hidden="false" outlineLevel="0" max="5" min="5" style="1" width="12"/>
    <col collapsed="false" customWidth="true" hidden="false" outlineLevel="0" max="6" min="6" style="1" width="7"/>
    <col collapsed="false" customWidth="true" hidden="false" outlineLevel="0" max="7" min="7" style="1" width="9"/>
    <col collapsed="false" customWidth="true" hidden="false" outlineLevel="0" max="9" min="8" style="1" width="8"/>
    <col collapsed="false" customWidth="true" hidden="false" outlineLevel="0" max="10" min="10" style="1" width="26"/>
    <col collapsed="false" customWidth="true" hidden="false" outlineLevel="0" max="11" min="11" style="1" width="34"/>
    <col collapsed="false" customWidth="true" hidden="false" outlineLevel="0" max="12" min="12" style="1" width="10"/>
    <col collapsed="false" customWidth="true" hidden="false" outlineLevel="0" max="13" min="13" style="1" width="42"/>
    <col collapsed="false" customWidth="true" hidden="false" outlineLevel="0" max="15" min="15" style="1" width="22"/>
    <col collapsed="false" customWidth="true" hidden="false" outlineLevel="0" max="18" min="16" style="1" width="6"/>
  </cols>
  <sheetData>
    <row r="1" customFormat="false" ht="21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118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119</v>
      </c>
      <c r="K1" s="2" t="s">
        <v>120</v>
      </c>
      <c r="L1" s="2" t="s">
        <v>10</v>
      </c>
      <c r="M1" s="2" t="s">
        <v>11</v>
      </c>
      <c r="O1" s="3" t="s">
        <v>121</v>
      </c>
    </row>
    <row r="2" customFormat="false" ht="26.25" hidden="false" customHeight="true" outlineLevel="0" collapsed="false">
      <c r="A2" s="4" t="s">
        <v>13</v>
      </c>
      <c r="B2" s="5" t="s">
        <v>14</v>
      </c>
      <c r="C2" s="6" t="s">
        <v>25</v>
      </c>
      <c r="D2" s="5" t="s">
        <v>122</v>
      </c>
      <c r="E2" s="14" t="s">
        <v>123</v>
      </c>
      <c r="F2" s="4"/>
      <c r="G2" s="15" t="s">
        <v>124</v>
      </c>
      <c r="H2" s="8" t="str">
        <f aca="false">IF(F2="","",IF(G2="W",ROUND(1+IF(VALUE(SUBSTITUTE(F2,"+",""))&gt;0,VALUE(SUBSTITUTE(F2,"+",""))/100,100/ABS(VALUE(SUBSTITUTE(F2,"+","")))),2),IF(G2="L",0,IF(G2="P",1,""))))</f>
        <v/>
      </c>
      <c r="I2" s="6" t="s">
        <v>104</v>
      </c>
      <c r="J2" s="6" t="s">
        <v>125</v>
      </c>
      <c r="K2" s="5" t="s">
        <v>126</v>
      </c>
      <c r="L2" s="6" t="s">
        <v>127</v>
      </c>
      <c r="M2" s="5" t="s">
        <v>128</v>
      </c>
      <c r="O2" s="13" t="s">
        <v>129</v>
      </c>
      <c r="P2" s="13"/>
      <c r="Q2" s="13"/>
      <c r="R2" s="13"/>
    </row>
    <row r="3" customFormat="false" ht="26.25" hidden="false" customHeight="true" outlineLevel="0" collapsed="false">
      <c r="A3" s="4" t="s">
        <v>13</v>
      </c>
      <c r="B3" s="5" t="s">
        <v>14</v>
      </c>
      <c r="C3" s="6" t="s">
        <v>47</v>
      </c>
      <c r="D3" s="5" t="s">
        <v>130</v>
      </c>
      <c r="E3" s="14" t="s">
        <v>123</v>
      </c>
      <c r="F3" s="4"/>
      <c r="G3" s="15" t="s">
        <v>124</v>
      </c>
      <c r="H3" s="8" t="str">
        <f aca="false">IF(F3="","",IF(G3="W",ROUND(1+IF(VALUE(SUBSTITUTE(F3,"+",""))&gt;0,VALUE(SUBSTITUTE(F3,"+",""))/100,100/ABS(VALUE(SUBSTITUTE(F3,"+","")))),2),IF(G3="L",0,IF(G3="P",1,""))))</f>
        <v/>
      </c>
      <c r="I3" s="6" t="s">
        <v>104</v>
      </c>
      <c r="J3" s="6" t="s">
        <v>125</v>
      </c>
      <c r="K3" s="5" t="s">
        <v>131</v>
      </c>
      <c r="L3" s="6" t="s">
        <v>132</v>
      </c>
      <c r="M3" s="5" t="s">
        <v>133</v>
      </c>
      <c r="O3" s="13"/>
      <c r="P3" s="13"/>
      <c r="Q3" s="13"/>
      <c r="R3" s="13"/>
    </row>
    <row r="4" customFormat="false" ht="26.25" hidden="false" customHeight="true" outlineLevel="0" collapsed="false">
      <c r="A4" s="4" t="s">
        <v>13</v>
      </c>
      <c r="B4" s="5" t="s">
        <v>14</v>
      </c>
      <c r="C4" s="6" t="s">
        <v>39</v>
      </c>
      <c r="D4" s="5" t="s">
        <v>134</v>
      </c>
      <c r="E4" s="15" t="s">
        <v>135</v>
      </c>
      <c r="F4" s="4"/>
      <c r="G4" s="15" t="s">
        <v>135</v>
      </c>
      <c r="H4" s="8" t="str">
        <f aca="false">IF(F4="","",IF(G4="W",ROUND(1+IF(VALUE(SUBSTITUTE(F4,"+",""))&gt;0,VALUE(SUBSTITUTE(F4,"+",""))/100,100/ABS(VALUE(SUBSTITUTE(F4,"+","")))),2),IF(G4="L",0,IF(G4="P",1,""))))</f>
        <v/>
      </c>
      <c r="I4" s="6" t="s">
        <v>104</v>
      </c>
      <c r="J4" s="6" t="s">
        <v>125</v>
      </c>
      <c r="K4" s="5" t="s">
        <v>136</v>
      </c>
      <c r="L4" s="6" t="s">
        <v>137</v>
      </c>
      <c r="M4" s="5" t="s">
        <v>138</v>
      </c>
      <c r="O4" s="13"/>
      <c r="P4" s="13"/>
      <c r="Q4" s="13"/>
      <c r="R4" s="13"/>
    </row>
    <row r="5" customFormat="false" ht="26.25" hidden="false" customHeight="true" outlineLevel="0" collapsed="false">
      <c r="A5" s="4" t="s">
        <v>13</v>
      </c>
      <c r="B5" s="5" t="s">
        <v>14</v>
      </c>
      <c r="C5" s="6" t="s">
        <v>25</v>
      </c>
      <c r="D5" s="5" t="s">
        <v>139</v>
      </c>
      <c r="E5" s="14" t="s">
        <v>123</v>
      </c>
      <c r="F5" s="4"/>
      <c r="G5" s="15" t="s">
        <v>124</v>
      </c>
      <c r="H5" s="8" t="str">
        <f aca="false">IF(F5="","",IF(G5="W",ROUND(1+IF(VALUE(SUBSTITUTE(F5,"+",""))&gt;0,VALUE(SUBSTITUTE(F5,"+",""))/100,100/ABS(VALUE(SUBSTITUTE(F5,"+","")))),2),IF(G5="L",0,IF(G5="P",1,""))))</f>
        <v/>
      </c>
      <c r="I5" s="6" t="s">
        <v>104</v>
      </c>
      <c r="J5" s="6" t="s">
        <v>125</v>
      </c>
      <c r="K5" s="5" t="s">
        <v>140</v>
      </c>
      <c r="L5" s="6" t="s">
        <v>141</v>
      </c>
      <c r="M5" s="5" t="s">
        <v>142</v>
      </c>
      <c r="O5" s="13"/>
      <c r="P5" s="13"/>
      <c r="Q5" s="13"/>
      <c r="R5" s="13"/>
    </row>
    <row r="6" customFormat="false" ht="26.25" hidden="false" customHeight="true" outlineLevel="0" collapsed="false">
      <c r="A6" s="4" t="s">
        <v>13</v>
      </c>
      <c r="B6" s="5" t="s">
        <v>14</v>
      </c>
      <c r="C6" s="6" t="s">
        <v>39</v>
      </c>
      <c r="D6" s="5" t="s">
        <v>143</v>
      </c>
      <c r="E6" s="15" t="s">
        <v>3</v>
      </c>
      <c r="F6" s="4" t="s">
        <v>144</v>
      </c>
      <c r="G6" s="15" t="s">
        <v>124</v>
      </c>
      <c r="H6" s="8" t="str">
        <f aca="false">IF(F6="","",IF(G6="W",ROUND(1+IF(VALUE(SUBSTITUTE(F6,"+",""))&gt;0,VALUE(SUBSTITUTE(F6,"+",""))/100,100/ABS(VALUE(SUBSTITUTE(F6,"+","")))),2),IF(G6="L",0,IF(G6="P",1,""))))</f>
        <v/>
      </c>
      <c r="I6" s="6" t="s">
        <v>104</v>
      </c>
      <c r="J6" s="6" t="s">
        <v>125</v>
      </c>
      <c r="K6" s="5" t="s">
        <v>145</v>
      </c>
      <c r="L6" s="6" t="s">
        <v>146</v>
      </c>
      <c r="M6" s="5" t="s">
        <v>147</v>
      </c>
      <c r="O6" s="13"/>
      <c r="P6" s="13"/>
      <c r="Q6" s="13"/>
      <c r="R6" s="13"/>
    </row>
    <row r="7" customFormat="false" ht="26.25" hidden="false" customHeight="true" outlineLevel="0" collapsed="false">
      <c r="A7" s="4" t="s">
        <v>13</v>
      </c>
      <c r="B7" s="5" t="s">
        <v>14</v>
      </c>
      <c r="C7" s="6" t="s">
        <v>25</v>
      </c>
      <c r="D7" s="5" t="s">
        <v>148</v>
      </c>
      <c r="E7" s="14" t="s">
        <v>123</v>
      </c>
      <c r="F7" s="4"/>
      <c r="G7" s="15" t="s">
        <v>124</v>
      </c>
      <c r="H7" s="8" t="str">
        <f aca="false">IF(F7="","",IF(G7="W",ROUND(1+IF(VALUE(SUBSTITUTE(F7,"+",""))&gt;0,VALUE(SUBSTITUTE(F7,"+",""))/100,100/ABS(VALUE(SUBSTITUTE(F7,"+","")))),2),IF(G7="L",0,IF(G7="P",1,""))))</f>
        <v/>
      </c>
      <c r="I7" s="6" t="s">
        <v>104</v>
      </c>
      <c r="J7" s="6" t="s">
        <v>125</v>
      </c>
      <c r="K7" s="5" t="s">
        <v>149</v>
      </c>
      <c r="L7" s="6" t="s">
        <v>150</v>
      </c>
      <c r="M7" s="5" t="s">
        <v>151</v>
      </c>
      <c r="O7" s="13"/>
      <c r="P7" s="13"/>
      <c r="Q7" s="13"/>
      <c r="R7" s="13"/>
    </row>
    <row r="8" customFormat="false" ht="26.25" hidden="false" customHeight="true" outlineLevel="0" collapsed="false">
      <c r="A8" s="4" t="s">
        <v>13</v>
      </c>
      <c r="B8" s="5" t="s">
        <v>14</v>
      </c>
      <c r="C8" s="6" t="s">
        <v>47</v>
      </c>
      <c r="D8" s="5" t="s">
        <v>152</v>
      </c>
      <c r="E8" s="15" t="s">
        <v>135</v>
      </c>
      <c r="F8" s="4"/>
      <c r="G8" s="15" t="s">
        <v>135</v>
      </c>
      <c r="H8" s="8" t="str">
        <f aca="false">IF(F8="","",IF(G8="W",ROUND(1+IF(VALUE(SUBSTITUTE(F8,"+",""))&gt;0,VALUE(SUBSTITUTE(F8,"+",""))/100,100/ABS(VALUE(SUBSTITUTE(F8,"+","")))),2),IF(G8="L",0,IF(G8="P",1,""))))</f>
        <v/>
      </c>
      <c r="I8" s="6" t="s">
        <v>104</v>
      </c>
      <c r="J8" s="6" t="s">
        <v>125</v>
      </c>
      <c r="K8" s="5" t="s">
        <v>153</v>
      </c>
      <c r="L8" s="6" t="s">
        <v>154</v>
      </c>
      <c r="M8" s="5" t="s">
        <v>155</v>
      </c>
      <c r="O8" s="13"/>
      <c r="P8" s="13"/>
      <c r="Q8" s="13"/>
      <c r="R8" s="13"/>
    </row>
    <row r="9" customFormat="false" ht="26.25" hidden="false" customHeight="true" outlineLevel="0" collapsed="false">
      <c r="A9" s="4" t="s">
        <v>13</v>
      </c>
      <c r="B9" s="5" t="s">
        <v>14</v>
      </c>
      <c r="C9" s="6" t="s">
        <v>39</v>
      </c>
      <c r="D9" s="5" t="s">
        <v>148</v>
      </c>
      <c r="E9" s="14" t="s">
        <v>123</v>
      </c>
      <c r="F9" s="4"/>
      <c r="G9" s="15" t="s">
        <v>124</v>
      </c>
      <c r="H9" s="8" t="str">
        <f aca="false">IF(F9="","",IF(G9="W",ROUND(1+IF(VALUE(SUBSTITUTE(F9,"+",""))&gt;0,VALUE(SUBSTITUTE(F9,"+",""))/100,100/ABS(VALUE(SUBSTITUTE(F9,"+","")))),2),IF(G9="L",0,IF(G9="P",1,""))))</f>
        <v/>
      </c>
      <c r="I9" s="6" t="s">
        <v>104</v>
      </c>
      <c r="J9" s="6" t="s">
        <v>125</v>
      </c>
      <c r="K9" s="5" t="s">
        <v>156</v>
      </c>
      <c r="L9" s="6" t="s">
        <v>157</v>
      </c>
      <c r="M9" s="5" t="s">
        <v>158</v>
      </c>
      <c r="O9" s="13"/>
      <c r="P9" s="13"/>
      <c r="Q9" s="13"/>
      <c r="R9" s="13"/>
    </row>
    <row r="10" customFormat="false" ht="26.25" hidden="false" customHeight="true" outlineLevel="0" collapsed="false">
      <c r="A10" s="4" t="s">
        <v>13</v>
      </c>
      <c r="B10" s="5" t="s">
        <v>14</v>
      </c>
      <c r="C10" s="6" t="s">
        <v>39</v>
      </c>
      <c r="D10" s="5" t="s">
        <v>159</v>
      </c>
      <c r="E10" s="16" t="s">
        <v>160</v>
      </c>
      <c r="F10" s="4" t="s">
        <v>161</v>
      </c>
      <c r="G10" s="15" t="s">
        <v>124</v>
      </c>
      <c r="H10" s="8" t="str">
        <f aca="false">IF(F10="","",IF(G10="W",ROUND(1+IF(VALUE(SUBSTITUTE(F10,"+",""))&gt;0,VALUE(SUBSTITUTE(F10,"+",""))/100,100/ABS(VALUE(SUBSTITUTE(F10,"+","")))),2),IF(G10="L",0,IF(G10="P",1,""))))</f>
        <v/>
      </c>
      <c r="I10" s="6" t="s">
        <v>104</v>
      </c>
      <c r="J10" s="6" t="s">
        <v>125</v>
      </c>
      <c r="K10" s="5" t="s">
        <v>162</v>
      </c>
      <c r="L10" s="6" t="s">
        <v>163</v>
      </c>
      <c r="M10" s="5" t="s">
        <v>164</v>
      </c>
      <c r="O10" s="13"/>
      <c r="P10" s="13"/>
      <c r="Q10" s="13"/>
      <c r="R10" s="13"/>
    </row>
    <row r="11" customFormat="false" ht="26.25" hidden="false" customHeight="true" outlineLevel="0" collapsed="false">
      <c r="A11" s="4" t="s">
        <v>13</v>
      </c>
      <c r="B11" s="5" t="s">
        <v>14</v>
      </c>
      <c r="C11" s="6" t="s">
        <v>25</v>
      </c>
      <c r="D11" s="5" t="s">
        <v>165</v>
      </c>
      <c r="E11" s="14" t="s">
        <v>123</v>
      </c>
      <c r="F11" s="4"/>
      <c r="G11" s="15" t="s">
        <v>124</v>
      </c>
      <c r="H11" s="8" t="str">
        <f aca="false">IF(F11="","",IF(G11="W",ROUND(1+IF(VALUE(SUBSTITUTE(F11,"+",""))&gt;0,VALUE(SUBSTITUTE(F11,"+",""))/100,100/ABS(VALUE(SUBSTITUTE(F11,"+","")))),2),IF(G11="L",0,IF(G11="P",1,""))))</f>
        <v/>
      </c>
      <c r="I11" s="6" t="s">
        <v>104</v>
      </c>
      <c r="J11" s="6" t="s">
        <v>125</v>
      </c>
      <c r="K11" s="5" t="s">
        <v>166</v>
      </c>
      <c r="L11" s="6" t="s">
        <v>167</v>
      </c>
      <c r="M11" s="5" t="s">
        <v>168</v>
      </c>
      <c r="O11" s="13"/>
      <c r="P11" s="13"/>
      <c r="Q11" s="13"/>
      <c r="R11" s="13"/>
    </row>
    <row r="12" customFormat="false" ht="26.25" hidden="false" customHeight="true" outlineLevel="0" collapsed="false">
      <c r="A12" s="4" t="s">
        <v>13</v>
      </c>
      <c r="B12" s="5" t="s">
        <v>14</v>
      </c>
      <c r="C12" s="6" t="s">
        <v>39</v>
      </c>
      <c r="D12" s="5" t="s">
        <v>169</v>
      </c>
      <c r="E12" s="15" t="s">
        <v>135</v>
      </c>
      <c r="F12" s="4"/>
      <c r="G12" s="15" t="s">
        <v>135</v>
      </c>
      <c r="H12" s="8" t="str">
        <f aca="false">IF(F12="","",IF(G12="W",ROUND(1+IF(VALUE(SUBSTITUTE(F12,"+",""))&gt;0,VALUE(SUBSTITUTE(F12,"+",""))/100,100/ABS(VALUE(SUBSTITUTE(F12,"+","")))),2),IF(G12="L",0,IF(G12="P",1,""))))</f>
        <v/>
      </c>
      <c r="I12" s="6" t="s">
        <v>104</v>
      </c>
      <c r="J12" s="6" t="s">
        <v>125</v>
      </c>
      <c r="K12" s="5" t="s">
        <v>170</v>
      </c>
      <c r="L12" s="6" t="s">
        <v>171</v>
      </c>
      <c r="M12" s="5" t="s">
        <v>172</v>
      </c>
      <c r="O12" s="13"/>
      <c r="P12" s="13"/>
      <c r="Q12" s="13"/>
      <c r="R12" s="13"/>
    </row>
    <row r="13" customFormat="false" ht="26.25" hidden="false" customHeight="true" outlineLevel="0" collapsed="false">
      <c r="A13" s="4" t="s">
        <v>13</v>
      </c>
      <c r="B13" s="5" t="s">
        <v>14</v>
      </c>
      <c r="C13" s="6" t="s">
        <v>47</v>
      </c>
      <c r="D13" s="5" t="s">
        <v>173</v>
      </c>
      <c r="E13" s="14" t="s">
        <v>123</v>
      </c>
      <c r="F13" s="4"/>
      <c r="G13" s="15" t="s">
        <v>124</v>
      </c>
      <c r="H13" s="8" t="str">
        <f aca="false">IF(F13="","",IF(G13="W",ROUND(1+IF(VALUE(SUBSTITUTE(F13,"+",""))&gt;0,VALUE(SUBSTITUTE(F13,"+",""))/100,100/ABS(VALUE(SUBSTITUTE(F13,"+","")))),2),IF(G13="L",0,IF(G13="P",1,""))))</f>
        <v/>
      </c>
      <c r="I13" s="6" t="s">
        <v>104</v>
      </c>
      <c r="J13" s="6" t="s">
        <v>125</v>
      </c>
      <c r="K13" s="5" t="s">
        <v>174</v>
      </c>
      <c r="L13" s="6" t="s">
        <v>175</v>
      </c>
      <c r="M13" s="5" t="s">
        <v>176</v>
      </c>
      <c r="O13" s="13"/>
      <c r="P13" s="13"/>
      <c r="Q13" s="13"/>
      <c r="R13" s="13"/>
    </row>
    <row r="14" customFormat="false" ht="26.25" hidden="false" customHeight="true" outlineLevel="0" collapsed="false">
      <c r="A14" s="4" t="s">
        <v>13</v>
      </c>
      <c r="B14" s="5" t="s">
        <v>14</v>
      </c>
      <c r="C14" s="6" t="s">
        <v>39</v>
      </c>
      <c r="D14" s="5" t="s">
        <v>177</v>
      </c>
      <c r="E14" s="15" t="s">
        <v>3</v>
      </c>
      <c r="F14" s="4" t="s">
        <v>18</v>
      </c>
      <c r="G14" s="15" t="s">
        <v>124</v>
      </c>
      <c r="H14" s="8" t="str">
        <f aca="false">IF(F14="","",IF(G14="W",ROUND(1+IF(VALUE(SUBSTITUTE(F14,"+",""))&gt;0,VALUE(SUBSTITUTE(F14,"+",""))/100,100/ABS(VALUE(SUBSTITUTE(F14,"+","")))),2),IF(G14="L",0,IF(G14="P",1,""))))</f>
        <v/>
      </c>
      <c r="I14" s="6" t="s">
        <v>104</v>
      </c>
      <c r="J14" s="6" t="s">
        <v>125</v>
      </c>
      <c r="K14" s="5" t="s">
        <v>178</v>
      </c>
      <c r="L14" s="6" t="s">
        <v>179</v>
      </c>
      <c r="M14" s="5" t="s">
        <v>180</v>
      </c>
      <c r="O14" s="13"/>
      <c r="P14" s="13"/>
      <c r="Q14" s="13"/>
      <c r="R14" s="13"/>
    </row>
    <row r="15" customFormat="false" ht="26.25" hidden="false" customHeight="true" outlineLevel="0" collapsed="false">
      <c r="A15" s="4" t="s">
        <v>13</v>
      </c>
      <c r="B15" s="5" t="s">
        <v>14</v>
      </c>
      <c r="C15" s="6" t="s">
        <v>39</v>
      </c>
      <c r="D15" s="5" t="s">
        <v>181</v>
      </c>
      <c r="E15" s="15" t="s">
        <v>3</v>
      </c>
      <c r="F15" s="4" t="s">
        <v>182</v>
      </c>
      <c r="G15" s="15" t="s">
        <v>124</v>
      </c>
      <c r="H15" s="8" t="str">
        <f aca="false">IF(F15="","",IF(G15="W",ROUND(1+IF(VALUE(SUBSTITUTE(F15,"+",""))&gt;0,VALUE(SUBSTITUTE(F15,"+",""))/100,100/ABS(VALUE(SUBSTITUTE(F15,"+","")))),2),IF(G15="L",0,IF(G15="P",1,""))))</f>
        <v/>
      </c>
      <c r="I15" s="6" t="s">
        <v>104</v>
      </c>
      <c r="J15" s="6" t="s">
        <v>125</v>
      </c>
      <c r="K15" s="5" t="s">
        <v>183</v>
      </c>
      <c r="L15" s="6" t="s">
        <v>184</v>
      </c>
      <c r="M15" s="5" t="s">
        <v>185</v>
      </c>
    </row>
    <row r="16" customFormat="false" ht="26.25" hidden="false" customHeight="true" outlineLevel="0" collapsed="false">
      <c r="A16" s="4" t="s">
        <v>13</v>
      </c>
      <c r="B16" s="5" t="s">
        <v>14</v>
      </c>
      <c r="C16" s="6" t="s">
        <v>25</v>
      </c>
      <c r="D16" s="5" t="s">
        <v>186</v>
      </c>
      <c r="E16" s="15" t="s">
        <v>3</v>
      </c>
      <c r="F16" s="4" t="s">
        <v>187</v>
      </c>
      <c r="G16" s="15" t="s">
        <v>124</v>
      </c>
      <c r="H16" s="8" t="str">
        <f aca="false">IF(F16="","",IF(G16="W",ROUND(1+IF(VALUE(SUBSTITUTE(F16,"+",""))&gt;0,VALUE(SUBSTITUTE(F16,"+",""))/100,100/ABS(VALUE(SUBSTITUTE(F16,"+","")))),2),IF(G16="L",0,IF(G16="P",1,""))))</f>
        <v/>
      </c>
      <c r="I16" s="6" t="s">
        <v>104</v>
      </c>
      <c r="J16" s="6" t="s">
        <v>125</v>
      </c>
      <c r="K16" s="5" t="s">
        <v>188</v>
      </c>
      <c r="L16" s="6" t="s">
        <v>189</v>
      </c>
      <c r="M16" s="5" t="s">
        <v>190</v>
      </c>
    </row>
    <row r="17" customFormat="false" ht="15" hidden="false" customHeight="true" outlineLevel="0" collapsed="false">
      <c r="A17" s="4" t="s">
        <v>56</v>
      </c>
      <c r="B17" s="5" t="s">
        <v>57</v>
      </c>
      <c r="C17" s="6" t="s">
        <v>25</v>
      </c>
      <c r="D17" s="5" t="s">
        <v>191</v>
      </c>
      <c r="E17" s="14" t="s">
        <v>123</v>
      </c>
      <c r="F17" s="4"/>
      <c r="G17" s="15" t="s">
        <v>124</v>
      </c>
      <c r="H17" s="8" t="str">
        <f aca="false">IF(F17="","",IF(G17="W",ROUND(1+IF(VALUE(SUBSTITUTE(F17,"+",""))&gt;0,VALUE(SUBSTITUTE(F17,"+",""))/100,100/ABS(VALUE(SUBSTITUTE(F17,"+","")))),2),IF(G17="L",0,IF(G17="P",1,""))))</f>
        <v/>
      </c>
      <c r="I17" s="6" t="s">
        <v>104</v>
      </c>
      <c r="J17" s="6" t="s">
        <v>125</v>
      </c>
      <c r="K17" s="5" t="s">
        <v>192</v>
      </c>
      <c r="L17" s="6" t="s">
        <v>193</v>
      </c>
      <c r="M17" s="5" t="s">
        <v>194</v>
      </c>
    </row>
    <row r="18" customFormat="false" ht="26.25" hidden="false" customHeight="true" outlineLevel="0" collapsed="false">
      <c r="A18" s="4" t="s">
        <v>56</v>
      </c>
      <c r="B18" s="5" t="s">
        <v>57</v>
      </c>
      <c r="C18" s="6" t="s">
        <v>47</v>
      </c>
      <c r="D18" s="5" t="s">
        <v>191</v>
      </c>
      <c r="E18" s="15" t="s">
        <v>3</v>
      </c>
      <c r="F18" s="4" t="s">
        <v>187</v>
      </c>
      <c r="G18" s="15" t="s">
        <v>124</v>
      </c>
      <c r="H18" s="8" t="str">
        <f aca="false">IF(F18="","",IF(G18="W",ROUND(1+IF(VALUE(SUBSTITUTE(F18,"+",""))&gt;0,VALUE(SUBSTITUTE(F18,"+",""))/100,100/ABS(VALUE(SUBSTITUTE(F18,"+","")))),2),IF(G18="L",0,IF(G18="P",1,""))))</f>
        <v/>
      </c>
      <c r="I18" s="6" t="s">
        <v>104</v>
      </c>
      <c r="J18" s="6" t="s">
        <v>125</v>
      </c>
      <c r="K18" s="5" t="s">
        <v>195</v>
      </c>
      <c r="L18" s="6" t="s">
        <v>196</v>
      </c>
      <c r="M18" s="5" t="s">
        <v>197</v>
      </c>
    </row>
    <row r="19" customFormat="false" ht="15" hidden="false" customHeight="true" outlineLevel="0" collapsed="false">
      <c r="A19" s="4" t="s">
        <v>56</v>
      </c>
      <c r="B19" s="5" t="s">
        <v>57</v>
      </c>
      <c r="C19" s="6" t="s">
        <v>39</v>
      </c>
      <c r="D19" s="5" t="s">
        <v>198</v>
      </c>
      <c r="E19" s="14" t="s">
        <v>123</v>
      </c>
      <c r="F19" s="4"/>
      <c r="G19" s="15" t="s">
        <v>124</v>
      </c>
      <c r="H19" s="8" t="str">
        <f aca="false">IF(F19="","",IF(G19="W",ROUND(1+IF(VALUE(SUBSTITUTE(F19,"+",""))&gt;0,VALUE(SUBSTITUTE(F19,"+",""))/100,100/ABS(VALUE(SUBSTITUTE(F19,"+","")))),2),IF(G19="L",0,IF(G19="P",1,""))))</f>
        <v/>
      </c>
      <c r="I19" s="6" t="s">
        <v>104</v>
      </c>
      <c r="J19" s="6" t="s">
        <v>125</v>
      </c>
      <c r="K19" s="5" t="s">
        <v>199</v>
      </c>
      <c r="L19" s="6" t="s">
        <v>200</v>
      </c>
      <c r="M19" s="5" t="s">
        <v>201</v>
      </c>
    </row>
    <row r="20" customFormat="false" ht="15" hidden="false" customHeight="true" outlineLevel="0" collapsed="false">
      <c r="A20" s="4" t="s">
        <v>56</v>
      </c>
      <c r="B20" s="5" t="s">
        <v>57</v>
      </c>
      <c r="C20" s="6" t="s">
        <v>25</v>
      </c>
      <c r="D20" s="5" t="s">
        <v>202</v>
      </c>
      <c r="E20" s="14" t="s">
        <v>123</v>
      </c>
      <c r="F20" s="4"/>
      <c r="G20" s="15" t="s">
        <v>124</v>
      </c>
      <c r="H20" s="8" t="str">
        <f aca="false">IF(F20="","",IF(G20="W",ROUND(1+IF(VALUE(SUBSTITUTE(F20,"+",""))&gt;0,VALUE(SUBSTITUTE(F20,"+",""))/100,100/ABS(VALUE(SUBSTITUTE(F20,"+","")))),2),IF(G20="L",0,IF(G20="P",1,""))))</f>
        <v/>
      </c>
      <c r="I20" s="6" t="s">
        <v>104</v>
      </c>
      <c r="J20" s="6" t="s">
        <v>125</v>
      </c>
      <c r="K20" s="5" t="s">
        <v>203</v>
      </c>
      <c r="L20" s="6" t="s">
        <v>204</v>
      </c>
      <c r="M20" s="5" t="s">
        <v>205</v>
      </c>
    </row>
    <row r="21" customFormat="false" ht="15" hidden="false" customHeight="true" outlineLevel="0" collapsed="false">
      <c r="A21" s="4" t="s">
        <v>56</v>
      </c>
      <c r="B21" s="5" t="s">
        <v>57</v>
      </c>
      <c r="C21" s="6" t="s">
        <v>39</v>
      </c>
      <c r="D21" s="5" t="s">
        <v>206</v>
      </c>
      <c r="E21" s="14" t="s">
        <v>123</v>
      </c>
      <c r="F21" s="4"/>
      <c r="G21" s="15" t="s">
        <v>124</v>
      </c>
      <c r="H21" s="8" t="str">
        <f aca="false">IF(F21="","",IF(G21="W",ROUND(1+IF(VALUE(SUBSTITUTE(F21,"+",""))&gt;0,VALUE(SUBSTITUTE(F21,"+",""))/100,100/ABS(VALUE(SUBSTITUTE(F21,"+","")))),2),IF(G21="L",0,IF(G21="P",1,""))))</f>
        <v/>
      </c>
      <c r="I21" s="6" t="s">
        <v>104</v>
      </c>
      <c r="J21" s="6" t="s">
        <v>125</v>
      </c>
      <c r="K21" s="5" t="s">
        <v>207</v>
      </c>
      <c r="L21" s="6" t="s">
        <v>208</v>
      </c>
      <c r="M21" s="5" t="s">
        <v>209</v>
      </c>
    </row>
    <row r="22" customFormat="false" ht="15" hidden="false" customHeight="true" outlineLevel="0" collapsed="false">
      <c r="A22" s="4" t="s">
        <v>56</v>
      </c>
      <c r="B22" s="5" t="s">
        <v>57</v>
      </c>
      <c r="C22" s="6" t="s">
        <v>25</v>
      </c>
      <c r="D22" s="5" t="s">
        <v>210</v>
      </c>
      <c r="E22" s="14" t="s">
        <v>123</v>
      </c>
      <c r="F22" s="4"/>
      <c r="G22" s="15" t="s">
        <v>124</v>
      </c>
      <c r="H22" s="8" t="str">
        <f aca="false">IF(F22="","",IF(G22="W",ROUND(1+IF(VALUE(SUBSTITUTE(F22,"+",""))&gt;0,VALUE(SUBSTITUTE(F22,"+",""))/100,100/ABS(VALUE(SUBSTITUTE(F22,"+","")))),2),IF(G22="L",0,IF(G22="P",1,""))))</f>
        <v/>
      </c>
      <c r="I22" s="6" t="s">
        <v>104</v>
      </c>
      <c r="J22" s="6" t="s">
        <v>125</v>
      </c>
      <c r="K22" s="5" t="s">
        <v>211</v>
      </c>
      <c r="L22" s="6" t="s">
        <v>212</v>
      </c>
      <c r="M22" s="5" t="s">
        <v>213</v>
      </c>
    </row>
    <row r="23" customFormat="false" ht="15" hidden="false" customHeight="true" outlineLevel="0" collapsed="false">
      <c r="A23" s="4" t="s">
        <v>56</v>
      </c>
      <c r="B23" s="5" t="s">
        <v>57</v>
      </c>
      <c r="C23" s="6" t="s">
        <v>39</v>
      </c>
      <c r="D23" s="5" t="s">
        <v>210</v>
      </c>
      <c r="E23" s="14" t="s">
        <v>123</v>
      </c>
      <c r="F23" s="4"/>
      <c r="G23" s="15" t="s">
        <v>124</v>
      </c>
      <c r="H23" s="8" t="str">
        <f aca="false">IF(F23="","",IF(G23="W",ROUND(1+IF(VALUE(SUBSTITUTE(F23,"+",""))&gt;0,VALUE(SUBSTITUTE(F23,"+",""))/100,100/ABS(VALUE(SUBSTITUTE(F23,"+","")))),2),IF(G23="L",0,IF(G23="P",1,""))))</f>
        <v/>
      </c>
      <c r="I23" s="6" t="s">
        <v>104</v>
      </c>
      <c r="J23" s="6" t="s">
        <v>125</v>
      </c>
      <c r="K23" s="5" t="s">
        <v>214</v>
      </c>
      <c r="L23" s="6" t="s">
        <v>215</v>
      </c>
      <c r="M23" s="5" t="s">
        <v>216</v>
      </c>
    </row>
    <row r="24" customFormat="false" ht="15" hidden="false" customHeight="true" outlineLevel="0" collapsed="false">
      <c r="A24" s="4" t="s">
        <v>56</v>
      </c>
      <c r="B24" s="5" t="s">
        <v>57</v>
      </c>
      <c r="C24" s="6" t="s">
        <v>47</v>
      </c>
      <c r="D24" s="5" t="s">
        <v>217</v>
      </c>
      <c r="E24" s="14" t="s">
        <v>123</v>
      </c>
      <c r="F24" s="4"/>
      <c r="G24" s="15" t="s">
        <v>124</v>
      </c>
      <c r="H24" s="8" t="str">
        <f aca="false">IF(F24="","",IF(G24="W",ROUND(1+IF(VALUE(SUBSTITUTE(F24,"+",""))&gt;0,VALUE(SUBSTITUTE(F24,"+",""))/100,100/ABS(VALUE(SUBSTITUTE(F24,"+","")))),2),IF(G24="L",0,IF(G24="P",1,""))))</f>
        <v/>
      </c>
      <c r="I24" s="6" t="s">
        <v>104</v>
      </c>
      <c r="J24" s="6" t="s">
        <v>125</v>
      </c>
      <c r="K24" s="5" t="s">
        <v>218</v>
      </c>
      <c r="L24" s="6" t="s">
        <v>219</v>
      </c>
      <c r="M24" s="5" t="s">
        <v>220</v>
      </c>
    </row>
    <row r="25" customFormat="false" ht="15" hidden="false" customHeight="true" outlineLevel="0" collapsed="false">
      <c r="A25" s="4" t="s">
        <v>56</v>
      </c>
      <c r="B25" s="5" t="s">
        <v>57</v>
      </c>
      <c r="C25" s="6" t="s">
        <v>25</v>
      </c>
      <c r="D25" s="5" t="s">
        <v>221</v>
      </c>
      <c r="E25" s="14" t="s">
        <v>123</v>
      </c>
      <c r="F25" s="4"/>
      <c r="G25" s="15" t="s">
        <v>124</v>
      </c>
      <c r="H25" s="8" t="str">
        <f aca="false">IF(F25="","",IF(G25="W",ROUND(1+IF(VALUE(SUBSTITUTE(F25,"+",""))&gt;0,VALUE(SUBSTITUTE(F25,"+",""))/100,100/ABS(VALUE(SUBSTITUTE(F25,"+","")))),2),IF(G25="L",0,IF(G25="P",1,""))))</f>
        <v/>
      </c>
      <c r="I25" s="6" t="s">
        <v>104</v>
      </c>
      <c r="J25" s="6" t="s">
        <v>125</v>
      </c>
      <c r="K25" s="5" t="s">
        <v>222</v>
      </c>
      <c r="L25" s="6" t="s">
        <v>223</v>
      </c>
      <c r="M25" s="5" t="s">
        <v>224</v>
      </c>
    </row>
    <row r="26" customFormat="false" ht="15" hidden="false" customHeight="true" outlineLevel="0" collapsed="false">
      <c r="A26" s="4" t="s">
        <v>56</v>
      </c>
      <c r="B26" s="5" t="s">
        <v>57</v>
      </c>
      <c r="C26" s="6" t="s">
        <v>47</v>
      </c>
      <c r="D26" s="5" t="s">
        <v>221</v>
      </c>
      <c r="E26" s="14" t="s">
        <v>123</v>
      </c>
      <c r="F26" s="4"/>
      <c r="G26" s="15" t="s">
        <v>124</v>
      </c>
      <c r="H26" s="8" t="str">
        <f aca="false">IF(F26="","",IF(G26="W",ROUND(1+IF(VALUE(SUBSTITUTE(F26,"+",""))&gt;0,VALUE(SUBSTITUTE(F26,"+",""))/100,100/ABS(VALUE(SUBSTITUTE(F26,"+","")))),2),IF(G26="L",0,IF(G26="P",1,""))))</f>
        <v/>
      </c>
      <c r="I26" s="6" t="s">
        <v>104</v>
      </c>
      <c r="J26" s="6" t="s">
        <v>125</v>
      </c>
      <c r="K26" s="5" t="s">
        <v>225</v>
      </c>
      <c r="L26" s="6" t="s">
        <v>226</v>
      </c>
      <c r="M26" s="5" t="s">
        <v>227</v>
      </c>
    </row>
    <row r="27" customFormat="false" ht="15" hidden="false" customHeight="true" outlineLevel="0" collapsed="false">
      <c r="A27" s="4" t="s">
        <v>56</v>
      </c>
      <c r="B27" s="5" t="s">
        <v>57</v>
      </c>
      <c r="C27" s="6" t="s">
        <v>39</v>
      </c>
      <c r="D27" s="5" t="s">
        <v>228</v>
      </c>
      <c r="E27" s="14" t="s">
        <v>123</v>
      </c>
      <c r="F27" s="4"/>
      <c r="G27" s="15" t="s">
        <v>124</v>
      </c>
      <c r="H27" s="8" t="str">
        <f aca="false">IF(F27="","",IF(G27="W",ROUND(1+IF(VALUE(SUBSTITUTE(F27,"+",""))&gt;0,VALUE(SUBSTITUTE(F27,"+",""))/100,100/ABS(VALUE(SUBSTITUTE(F27,"+","")))),2),IF(G27="L",0,IF(G27="P",1,""))))</f>
        <v/>
      </c>
      <c r="I27" s="6" t="s">
        <v>104</v>
      </c>
      <c r="J27" s="6" t="s">
        <v>125</v>
      </c>
      <c r="K27" s="5" t="s">
        <v>229</v>
      </c>
      <c r="L27" s="6" t="s">
        <v>230</v>
      </c>
      <c r="M27" s="5" t="s">
        <v>231</v>
      </c>
    </row>
    <row r="28" customFormat="false" ht="51.75" hidden="false" customHeight="true" outlineLevel="0" collapsed="false">
      <c r="A28" s="4" t="s">
        <v>56</v>
      </c>
      <c r="B28" s="5" t="s">
        <v>57</v>
      </c>
      <c r="C28" s="6" t="s">
        <v>232</v>
      </c>
      <c r="D28" s="5" t="s">
        <v>233</v>
      </c>
      <c r="E28" s="16" t="s">
        <v>160</v>
      </c>
      <c r="F28" s="4" t="s">
        <v>234</v>
      </c>
      <c r="G28" s="15" t="s">
        <v>124</v>
      </c>
      <c r="H28" s="8" t="str">
        <f aca="false">IF(F28="","",IF(G28="W",ROUND(1+IF(VALUE(SUBSTITUTE(F28,"+",""))&gt;0,VALUE(SUBSTITUTE(F28,"+",""))/100,100/ABS(VALUE(SUBSTITUTE(F28,"+","")))),2),IF(G28="L",0,IF(G28="P",1,""))))</f>
        <v/>
      </c>
      <c r="I28" s="6" t="s">
        <v>104</v>
      </c>
      <c r="J28" s="6" t="s">
        <v>125</v>
      </c>
      <c r="K28" s="5" t="s">
        <v>235</v>
      </c>
      <c r="L28" s="6" t="s">
        <v>236</v>
      </c>
      <c r="M28" s="5" t="s">
        <v>237</v>
      </c>
    </row>
    <row r="29" customFormat="false" ht="15" hidden="false" customHeight="true" outlineLevel="0" collapsed="false">
      <c r="A29" s="4" t="s">
        <v>56</v>
      </c>
      <c r="B29" s="5" t="s">
        <v>57</v>
      </c>
      <c r="C29" s="6" t="s">
        <v>47</v>
      </c>
      <c r="D29" s="5" t="s">
        <v>238</v>
      </c>
      <c r="E29" s="16" t="s">
        <v>160</v>
      </c>
      <c r="F29" s="4" t="s">
        <v>239</v>
      </c>
      <c r="G29" s="15" t="s">
        <v>124</v>
      </c>
      <c r="H29" s="8" t="str">
        <f aca="false">IF(F29="","",IF(G29="W",ROUND(1+IF(VALUE(SUBSTITUTE(F29,"+",""))&gt;0,VALUE(SUBSTITUTE(F29,"+",""))/100,100/ABS(VALUE(SUBSTITUTE(F29,"+","")))),2),IF(G29="L",0,IF(G29="P",1,""))))</f>
        <v/>
      </c>
      <c r="I29" s="6" t="s">
        <v>104</v>
      </c>
      <c r="J29" s="6" t="s">
        <v>125</v>
      </c>
      <c r="K29" s="5" t="s">
        <v>240</v>
      </c>
      <c r="L29" s="6" t="s">
        <v>241</v>
      </c>
      <c r="M29" s="5" t="s">
        <v>242</v>
      </c>
    </row>
    <row r="30" customFormat="false" ht="15" hidden="false" customHeight="true" outlineLevel="0" collapsed="false">
      <c r="A30" s="4" t="s">
        <v>56</v>
      </c>
      <c r="B30" s="5" t="s">
        <v>57</v>
      </c>
      <c r="C30" s="6" t="s">
        <v>243</v>
      </c>
      <c r="D30" s="5" t="s">
        <v>244</v>
      </c>
      <c r="E30" s="16" t="s">
        <v>160</v>
      </c>
      <c r="F30" s="4" t="s">
        <v>245</v>
      </c>
      <c r="G30" s="15" t="s">
        <v>124</v>
      </c>
      <c r="H30" s="8" t="str">
        <f aca="false">IF(F30="","",IF(G30="W",ROUND(1+IF(VALUE(SUBSTITUTE(F30,"+",""))&gt;0,VALUE(SUBSTITUTE(F30,"+",""))/100,100/ABS(VALUE(SUBSTITUTE(F30,"+","")))),2),IF(G30="L",0,IF(G30="P",1,""))))</f>
        <v/>
      </c>
      <c r="I30" s="6" t="s">
        <v>104</v>
      </c>
      <c r="J30" s="6" t="s">
        <v>125</v>
      </c>
      <c r="K30" s="5" t="s">
        <v>246</v>
      </c>
      <c r="L30" s="6" t="s">
        <v>247</v>
      </c>
      <c r="M30" s="5" t="s">
        <v>248</v>
      </c>
    </row>
    <row r="31" customFormat="false" ht="15" hidden="false" customHeight="true" outlineLevel="0" collapsed="false">
      <c r="A31" s="4" t="s">
        <v>56</v>
      </c>
      <c r="B31" s="5" t="s">
        <v>57</v>
      </c>
      <c r="C31" s="6" t="s">
        <v>25</v>
      </c>
      <c r="D31" s="5" t="s">
        <v>249</v>
      </c>
      <c r="E31" s="15" t="s">
        <v>3</v>
      </c>
      <c r="F31" s="4"/>
      <c r="G31" s="15" t="s">
        <v>124</v>
      </c>
      <c r="H31" s="8" t="str">
        <f aca="false">IF(F31="","",IF(G31="W",ROUND(1+IF(VALUE(SUBSTITUTE(F31,"+",""))&gt;0,VALUE(SUBSTITUTE(F31,"+",""))/100,100/ABS(VALUE(SUBSTITUTE(F31,"+","")))),2),IF(G31="L",0,IF(G31="P",1,""))))</f>
        <v/>
      </c>
      <c r="I31" s="6" t="s">
        <v>104</v>
      </c>
      <c r="J31" s="6" t="s">
        <v>125</v>
      </c>
      <c r="K31" s="5" t="s">
        <v>250</v>
      </c>
      <c r="L31" s="6" t="s">
        <v>251</v>
      </c>
      <c r="M31" s="5" t="s">
        <v>252</v>
      </c>
    </row>
    <row r="32" customFormat="false" ht="15" hidden="false" customHeight="true" outlineLevel="0" collapsed="false">
      <c r="A32" s="4" t="s">
        <v>56</v>
      </c>
      <c r="B32" s="5" t="s">
        <v>57</v>
      </c>
      <c r="C32" s="6" t="s">
        <v>25</v>
      </c>
      <c r="D32" s="5" t="s">
        <v>253</v>
      </c>
      <c r="E32" s="15" t="s">
        <v>3</v>
      </c>
      <c r="F32" s="4"/>
      <c r="G32" s="15" t="s">
        <v>124</v>
      </c>
      <c r="H32" s="8" t="str">
        <f aca="false">IF(F32="","",IF(G32="W",ROUND(1+IF(VALUE(SUBSTITUTE(F32,"+",""))&gt;0,VALUE(SUBSTITUTE(F32,"+",""))/100,100/ABS(VALUE(SUBSTITUTE(F32,"+","")))),2),IF(G32="L",0,IF(G32="P",1,""))))</f>
        <v/>
      </c>
      <c r="I32" s="6" t="s">
        <v>104</v>
      </c>
      <c r="J32" s="6" t="s">
        <v>125</v>
      </c>
      <c r="K32" s="5" t="s">
        <v>250</v>
      </c>
      <c r="L32" s="6" t="s">
        <v>254</v>
      </c>
      <c r="M32" s="5" t="s">
        <v>255</v>
      </c>
    </row>
    <row r="33" customFormat="false" ht="15" hidden="false" customHeight="true" outlineLevel="0" collapsed="false">
      <c r="A33" s="4" t="s">
        <v>56</v>
      </c>
      <c r="B33" s="5" t="s">
        <v>57</v>
      </c>
      <c r="C33" s="6" t="s">
        <v>25</v>
      </c>
      <c r="D33" s="5" t="s">
        <v>256</v>
      </c>
      <c r="E33" s="15" t="s">
        <v>3</v>
      </c>
      <c r="F33" s="4"/>
      <c r="G33" s="15" t="s">
        <v>124</v>
      </c>
      <c r="H33" s="8" t="str">
        <f aca="false">IF(F33="","",IF(G33="W",ROUND(1+IF(VALUE(SUBSTITUTE(F33,"+",""))&gt;0,VALUE(SUBSTITUTE(F33,"+",""))/100,100/ABS(VALUE(SUBSTITUTE(F33,"+","")))),2),IF(G33="L",0,IF(G33="P",1,""))))</f>
        <v/>
      </c>
      <c r="I33" s="6" t="s">
        <v>104</v>
      </c>
      <c r="J33" s="6" t="s">
        <v>125</v>
      </c>
      <c r="K33" s="5" t="s">
        <v>250</v>
      </c>
      <c r="L33" s="6" t="s">
        <v>257</v>
      </c>
      <c r="M33" s="5" t="s">
        <v>258</v>
      </c>
    </row>
    <row r="34" customFormat="false" ht="15" hidden="false" customHeight="true" outlineLevel="0" collapsed="false">
      <c r="A34" s="4" t="s">
        <v>259</v>
      </c>
      <c r="B34" s="5" t="s">
        <v>260</v>
      </c>
      <c r="C34" s="6" t="s">
        <v>15</v>
      </c>
      <c r="D34" s="5" t="s">
        <v>261</v>
      </c>
      <c r="E34" s="16" t="s">
        <v>160</v>
      </c>
      <c r="F34" s="4" t="s">
        <v>262</v>
      </c>
      <c r="G34" s="15" t="s">
        <v>124</v>
      </c>
      <c r="H34" s="8" t="str">
        <f aca="false">IF(F34="","",IF(G34="W",ROUND(1+IF(VALUE(SUBSTITUTE(F34,"+",""))&gt;0,VALUE(SUBSTITUTE(F34,"+",""))/100,100/ABS(VALUE(SUBSTITUTE(F34,"+","")))),2),IF(G34="L",0,IF(G34="P",1,""))))</f>
        <v/>
      </c>
      <c r="I34" s="6" t="s">
        <v>263</v>
      </c>
      <c r="J34" s="6" t="s">
        <v>264</v>
      </c>
      <c r="K34" s="5" t="s">
        <v>265</v>
      </c>
      <c r="L34" s="6" t="s">
        <v>266</v>
      </c>
      <c r="M34" s="5" t="s">
        <v>267</v>
      </c>
    </row>
    <row r="35" customFormat="false" ht="15" hidden="false" customHeight="true" outlineLevel="0" collapsed="false">
      <c r="A35" s="4" t="s">
        <v>259</v>
      </c>
      <c r="B35" s="5" t="s">
        <v>260</v>
      </c>
      <c r="C35" s="6" t="s">
        <v>243</v>
      </c>
      <c r="D35" s="5" t="s">
        <v>261</v>
      </c>
      <c r="E35" s="16" t="s">
        <v>160</v>
      </c>
      <c r="F35" s="4" t="s">
        <v>262</v>
      </c>
      <c r="G35" s="15" t="s">
        <v>124</v>
      </c>
      <c r="H35" s="8" t="str">
        <f aca="false">IF(F35="","",IF(G35="W",ROUND(1+IF(VALUE(SUBSTITUTE(F35,"+",""))&gt;0,VALUE(SUBSTITUTE(F35,"+",""))/100,100/ABS(VALUE(SUBSTITUTE(F35,"+","")))),2),IF(G35="L",0,IF(G35="P",1,""))))</f>
        <v/>
      </c>
      <c r="I35" s="6" t="s">
        <v>263</v>
      </c>
      <c r="J35" s="6" t="s">
        <v>264</v>
      </c>
      <c r="K35" s="5" t="s">
        <v>268</v>
      </c>
      <c r="L35" s="6" t="s">
        <v>269</v>
      </c>
      <c r="M35" s="5" t="s">
        <v>270</v>
      </c>
    </row>
    <row r="36" customFormat="false" ht="15" hidden="false" customHeight="true" outlineLevel="0" collapsed="false">
      <c r="A36" s="4" t="s">
        <v>259</v>
      </c>
      <c r="B36" s="5" t="s">
        <v>260</v>
      </c>
      <c r="C36" s="6" t="s">
        <v>15</v>
      </c>
      <c r="D36" s="5" t="s">
        <v>271</v>
      </c>
      <c r="E36" s="15" t="s">
        <v>3</v>
      </c>
      <c r="F36" s="4" t="s">
        <v>272</v>
      </c>
      <c r="G36" s="15" t="s">
        <v>124</v>
      </c>
      <c r="H36" s="8" t="str">
        <f aca="false">IF(F36="","",IF(G36="W",ROUND(1+IF(VALUE(SUBSTITUTE(F36,"+",""))&gt;0,VALUE(SUBSTITUTE(F36,"+",""))/100,100/ABS(VALUE(SUBSTITUTE(F36,"+","")))),2),IF(G36="L",0,IF(G36="P",1,""))))</f>
        <v/>
      </c>
      <c r="I36" s="6" t="s">
        <v>263</v>
      </c>
      <c r="J36" s="6" t="s">
        <v>273</v>
      </c>
      <c r="K36" s="5" t="s">
        <v>274</v>
      </c>
      <c r="L36" s="6" t="s">
        <v>275</v>
      </c>
      <c r="M36" s="5" t="s">
        <v>276</v>
      </c>
    </row>
    <row r="37" customFormat="false" ht="15" hidden="false" customHeight="true" outlineLevel="0" collapsed="false">
      <c r="A37" s="4" t="s">
        <v>259</v>
      </c>
      <c r="B37" s="5" t="s">
        <v>260</v>
      </c>
      <c r="C37" s="6" t="s">
        <v>243</v>
      </c>
      <c r="D37" s="5" t="s">
        <v>277</v>
      </c>
      <c r="E37" s="16" t="s">
        <v>160</v>
      </c>
      <c r="F37" s="4" t="s">
        <v>278</v>
      </c>
      <c r="G37" s="15" t="s">
        <v>124</v>
      </c>
      <c r="H37" s="8" t="str">
        <f aca="false">IF(F37="","",IF(G37="W",ROUND(1+IF(VALUE(SUBSTITUTE(F37,"+",""))&gt;0,VALUE(SUBSTITUTE(F37,"+",""))/100,100/ABS(VALUE(SUBSTITUTE(F37,"+","")))),2),IF(G37="L",0,IF(G37="P",1,""))))</f>
        <v/>
      </c>
      <c r="I37" s="6" t="s">
        <v>263</v>
      </c>
      <c r="J37" s="6" t="s">
        <v>273</v>
      </c>
      <c r="K37" s="5" t="s">
        <v>279</v>
      </c>
      <c r="L37" s="6" t="s">
        <v>280</v>
      </c>
      <c r="M37" s="5" t="s">
        <v>281</v>
      </c>
    </row>
    <row r="38" customFormat="false" ht="15" hidden="false" customHeight="true" outlineLevel="0" collapsed="false">
      <c r="A38" s="4" t="s">
        <v>259</v>
      </c>
      <c r="B38" s="5" t="s">
        <v>260</v>
      </c>
      <c r="C38" s="6" t="s">
        <v>243</v>
      </c>
      <c r="D38" s="5" t="s">
        <v>282</v>
      </c>
      <c r="E38" s="16" t="s">
        <v>160</v>
      </c>
      <c r="F38" s="4" t="s">
        <v>283</v>
      </c>
      <c r="G38" s="15" t="s">
        <v>124</v>
      </c>
      <c r="H38" s="8" t="str">
        <f aca="false">IF(F38="","",IF(G38="W",ROUND(1+IF(VALUE(SUBSTITUTE(F38,"+",""))&gt;0,VALUE(SUBSTITUTE(F38,"+",""))/100,100/ABS(VALUE(SUBSTITUTE(F38,"+","")))),2),IF(G38="L",0,IF(G38="P",1,""))))</f>
        <v/>
      </c>
      <c r="I38" s="6" t="s">
        <v>263</v>
      </c>
      <c r="J38" s="6" t="s">
        <v>284</v>
      </c>
      <c r="K38" s="5" t="s">
        <v>285</v>
      </c>
      <c r="L38" s="6" t="s">
        <v>286</v>
      </c>
      <c r="M38" s="5" t="s">
        <v>287</v>
      </c>
    </row>
    <row r="39" customFormat="false" ht="15" hidden="false" customHeight="true" outlineLevel="0" collapsed="false">
      <c r="A39" s="4" t="s">
        <v>259</v>
      </c>
      <c r="B39" s="5" t="s">
        <v>260</v>
      </c>
      <c r="C39" s="6" t="s">
        <v>15</v>
      </c>
      <c r="D39" s="5" t="s">
        <v>288</v>
      </c>
      <c r="E39" s="16" t="s">
        <v>160</v>
      </c>
      <c r="F39" s="4" t="s">
        <v>289</v>
      </c>
      <c r="G39" s="15" t="s">
        <v>124</v>
      </c>
      <c r="H39" s="8" t="str">
        <f aca="false">IF(F39="","",IF(G39="W",ROUND(1+IF(VALUE(SUBSTITUTE(F39,"+",""))&gt;0,VALUE(SUBSTITUTE(F39,"+",""))/100,100/ABS(VALUE(SUBSTITUTE(F39,"+","")))),2),IF(G39="L",0,IF(G39="P",1,""))))</f>
        <v/>
      </c>
      <c r="I39" s="6" t="s">
        <v>263</v>
      </c>
      <c r="J39" s="6" t="s">
        <v>284</v>
      </c>
      <c r="K39" s="5" t="s">
        <v>290</v>
      </c>
      <c r="L39" s="6" t="s">
        <v>291</v>
      </c>
      <c r="M39" s="5" t="s">
        <v>292</v>
      </c>
    </row>
    <row r="40" customFormat="false" ht="26.25" hidden="false" customHeight="true" outlineLevel="0" collapsed="false">
      <c r="A40" s="4" t="s">
        <v>259</v>
      </c>
      <c r="B40" s="5" t="s">
        <v>260</v>
      </c>
      <c r="C40" s="6" t="s">
        <v>243</v>
      </c>
      <c r="D40" s="5" t="s">
        <v>293</v>
      </c>
      <c r="E40" s="15" t="s">
        <v>3</v>
      </c>
      <c r="F40" s="4"/>
      <c r="G40" s="15" t="s">
        <v>124</v>
      </c>
      <c r="H40" s="8" t="str">
        <f aca="false">IF(F40="","",IF(G40="W",ROUND(1+IF(VALUE(SUBSTITUTE(F40,"+",""))&gt;0,VALUE(SUBSTITUTE(F40,"+",""))/100,100/ABS(VALUE(SUBSTITUTE(F40,"+","")))),2),IF(G40="L",0,IF(G40="P",1,""))))</f>
        <v/>
      </c>
      <c r="I40" s="6" t="s">
        <v>263</v>
      </c>
      <c r="J40" s="6" t="s">
        <v>294</v>
      </c>
      <c r="K40" s="5" t="s">
        <v>295</v>
      </c>
      <c r="L40" s="6" t="s">
        <v>296</v>
      </c>
      <c r="M40" s="5" t="s">
        <v>297</v>
      </c>
    </row>
  </sheetData>
  <mergeCells count="1">
    <mergeCell ref="O2:R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2026-08-14T16:51:48Z</dcterms:created>
  <dc:creator>openpyxl</dc:creator>
  <dc:description/>
  <dc:language>en-US</dc:language>
  <cp:lastModifiedBy/>
  <dcterms:modified xsi:type="dcterms:W3CDTF">2026-08-16T17:12:04Z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